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1.xml" ContentType="application/vnd.openxmlformats-officedocument.drawingml.chart+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8.xml" ContentType="application/vnd.openxmlformats-officedocument.drawing+xml"/>
  <Override PartName="/xl/ctrlProps/ctrlProp62.xml" ContentType="application/vnd.ms-excel.controlproperties+xml"/>
  <Override PartName="/xl/ctrlProps/ctrlProp6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9.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2.xml" ContentType="application/vnd.openxmlformats-officedocument.spreadsheetml.comments+xml"/>
  <Override PartName="/xl/drawings/drawing10.xml" ContentType="application/vnd.openxmlformats-officedocument.drawing+xml"/>
  <Override PartName="/xl/ctrlProps/ctrlProp78.xml" ContentType="application/vnd.ms-excel.controlproperties+xml"/>
  <Override PartName="/xl/ctrlProps/ctrlProp79.xml" ContentType="application/vnd.ms-excel.controlproperties+xml"/>
  <Override PartName="/xl/drawings/drawing11.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1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13.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4.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15.xml" ContentType="application/vnd.openxmlformats-officedocument.drawing+xml"/>
  <Override PartName="/xl/charts/chart5.xml" ContentType="application/vnd.openxmlformats-officedocument.drawingml.chart+xml"/>
  <Override PartName="/xl/drawings/drawing16.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benjaminkauffmann/Desktop/Azasimul/azasimul/dataset/models/Origin/"/>
    </mc:Choice>
  </mc:AlternateContent>
  <xr:revisionPtr revIDLastSave="0" documentId="13_ncr:1_{80EA6662-8E02-874A-BDBE-852FB5405707}" xr6:coauthVersionLast="47" xr6:coauthVersionMax="47" xr10:uidLastSave="{00000000-0000-0000-0000-000000000000}"/>
  <bookViews>
    <workbookView xWindow="1060" yWindow="7320" windowWidth="26160" windowHeight="13620" tabRatio="859" firstSheet="9" activeTab="10" xr2:uid="{00000000-000D-0000-FFFF-FFFF00000000}"/>
  </bookViews>
  <sheets>
    <sheet name="DataCenter-UseCase" sheetId="38" r:id="rId1"/>
    <sheet name="Summary-SolarSystem" sheetId="22" r:id="rId2"/>
    <sheet name="LCOSE Global Expectations" sheetId="15" r:id="rId3"/>
    <sheet name="PV Stabilized LCOE evol" sheetId="18" r:id="rId4"/>
    <sheet name="AZA-Sensitivity PV-LCOE" sheetId="17" r:id="rId5"/>
    <sheet name="AZA Zinc-Air vs Li-ion case" sheetId="16" r:id="rId6"/>
    <sheet name="LCOSE Sensitivity Study" sheetId="33" r:id="rId7"/>
    <sheet name="TCO Solar Farm-Containers" sheetId="26" r:id="rId8"/>
    <sheet name="EnergyVault-Recap" sheetId="35" r:id="rId9"/>
    <sheet name="Container system" sheetId="24" r:id="rId10"/>
    <sheet name="DropDown menus" sheetId="31" r:id="rId11"/>
    <sheet name="Standalone-PV-Station-5kW" sheetId="37" r:id="rId12"/>
    <sheet name="Packs" sheetId="23" r:id="rId13"/>
    <sheet name="Cells Cost" sheetId="29" r:id="rId14"/>
    <sheet name="AZA CyclesNbr" sheetId="12" r:id="rId15"/>
    <sheet name="PV-LCOE" sheetId="27" r:id="rId16"/>
    <sheet name="(ANX) LCOE Wind &amp; PV" sheetId="7" r:id="rId17"/>
    <sheet name="(ANX) Electricity cost (PV)" sheetId="6" r:id="rId18"/>
    <sheet name="(ANX) Solar resources" sheetId="8" r:id="rId19"/>
    <sheet name="References" sheetId="10" r:id="rId20"/>
    <sheet name="AirConsumption" sheetId="20" r:id="rId21"/>
    <sheet name="AirConsumptionPerCell" sheetId="21" r:id="rId22"/>
    <sheet name="Params" sheetId="25" r:id="rId23"/>
    <sheet name="Dependency-Tree" sheetId="28" r:id="rId24"/>
  </sheets>
  <definedNames>
    <definedName name="AZA_exp_factor">'AZA CyclesNbr'!$C$6</definedName>
    <definedName name="CONT_BoS_pkWp">'Container system'!$H$49</definedName>
    <definedName name="CONT_max_disch_h">'Container system'!$R$43</definedName>
    <definedName name="container_20fvs40f">'Container system'!$J$60</definedName>
    <definedName name="container_40fvs20f">'Container system'!$J$60</definedName>
    <definedName name="Cost_kWh_PV">'(ANX) Electricity cost (PV)'!$E$13</definedName>
    <definedName name="DC_cyclesPyear">'DataCenter-UseCase'!$F$11</definedName>
    <definedName name="DC_elec_USDperkWh">'DataCenter-UseCase'!$R$8</definedName>
    <definedName name="DC_nomin_kW">'DataCenter-UseCase'!$F$6</definedName>
    <definedName name="DC_project_years">'DataCenter-UseCase'!$R$7</definedName>
    <definedName name="DC_required_kWh">'DataCenter-UseCase'!$F$8</definedName>
    <definedName name="EUR2USD_2020">Params!$C$19</definedName>
    <definedName name="EUR2USD_evol">'DropDown menus'!$C$9</definedName>
    <definedName name="feet2mm">Params!$D$5</definedName>
    <definedName name="inch2mm">Params!$D$6</definedName>
    <definedName name="Inverter_cost_pkWp_2019">'TCO Solar Farm-Containers'!$N$94</definedName>
    <definedName name="Inverter_cost_ydecr">'TCO Solar Farm-Containers'!$Q$94</definedName>
    <definedName name="Inverter_cost_yprogr">'TCO Solar Farm-Containers'!$Q$94</definedName>
    <definedName name="opt_EUR2USD_evol">'DropDown menus'!$C$9</definedName>
    <definedName name="opt_GeoCase">'TCO Solar Farm-Containers'!$B$12</definedName>
    <definedName name="opt_HD_cells_overhead">'Cells Cost'!$I$40</definedName>
    <definedName name="opt_PVF_UPS">'DropDown menus'!$AR$9</definedName>
    <definedName name="opt_PVF_UPS_ndx">'DropDown menus'!$AR$8</definedName>
    <definedName name="opt_year">'DropDown menus'!$U$9</definedName>
    <definedName name="opt_YearId">'DropDown menus'!$U$10</definedName>
    <definedName name="perfLvl_AZA">'DropDown menus'!$L$9</definedName>
    <definedName name="perfLvl_Li_ion">'DropDown menus'!$Q$9</definedName>
    <definedName name="pres_unit_factor">'TCO Solar Farm-Containers'!$Q$54</definedName>
    <definedName name="prm_AZA_perfs">'DropDown menus'!$L$10</definedName>
    <definedName name="ratio_vs_simul" localSheetId="5">'AZA Zinc-Air vs Li-ion case'!$B$6</definedName>
    <definedName name="year_comp1">'DropDown menus'!$U$11</definedName>
    <definedName name="year_comp2">'DropDown menus'!$U$12</definedName>
    <definedName name="ZA_Whpkg_PVfarm">'Cells Cost'!$K$36</definedName>
    <definedName name="ZA_Whpkg_UPS">'Cells Cost'!$K$38</definedName>
    <definedName name="_xlnm.Print_Area" localSheetId="14">'AZA CyclesNbr'!$B$3:$AB$24</definedName>
    <definedName name="_xlnm.Print_Area" localSheetId="4">'AZA-Sensitivity PV-LCOE'!$A$1:$R$37</definedName>
    <definedName name="_xlnm.Print_Area" localSheetId="0">'DataCenter-UseCase'!$A$1:$W$85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7" i="29" l="1"/>
  <c r="G28" i="29" s="1"/>
  <c r="G29" i="29" s="1"/>
  <c r="G30" i="29" s="1"/>
  <c r="G31" i="29" s="1"/>
  <c r="E26" i="29"/>
  <c r="E27" i="29" s="1"/>
  <c r="E24" i="29"/>
  <c r="E23" i="29"/>
  <c r="B23" i="29"/>
  <c r="C23" i="29" s="1"/>
  <c r="C22" i="29"/>
  <c r="E28" i="29" l="1"/>
  <c r="B24" i="29"/>
  <c r="C24" i="29" l="1"/>
  <c r="B25" i="29"/>
  <c r="E29" i="29"/>
  <c r="B26" i="29" l="1"/>
  <c r="C25" i="29"/>
  <c r="E30" i="29"/>
  <c r="E31" i="29" l="1"/>
  <c r="B27" i="29"/>
  <c r="C26" i="29"/>
  <c r="B28" i="29" l="1"/>
  <c r="C27" i="29"/>
  <c r="B29" i="29" l="1"/>
  <c r="C28" i="29"/>
  <c r="B30" i="29" l="1"/>
  <c r="C29" i="29"/>
  <c r="B31" i="29" l="1"/>
  <c r="C31" i="29" s="1"/>
  <c r="C30" i="29"/>
  <c r="S30" i="38" l="1"/>
  <c r="S29" i="38"/>
  <c r="S31" i="38" s="1"/>
  <c r="AX12" i="31" l="1"/>
  <c r="AX13" i="31" s="1"/>
  <c r="AX14" i="31" s="1"/>
  <c r="AX15" i="31" s="1"/>
  <c r="AX16" i="31" s="1"/>
  <c r="AX17" i="31" s="1"/>
  <c r="AX18" i="31" s="1"/>
  <c r="AX19" i="31" s="1"/>
  <c r="AX20" i="31" s="1"/>
  <c r="AX21" i="31" s="1"/>
  <c r="AX22" i="31" s="1"/>
  <c r="AV12" i="31"/>
  <c r="AV13" i="31"/>
  <c r="AV14" i="31"/>
  <c r="AV11" i="31"/>
  <c r="AU9" i="31"/>
  <c r="AU8" i="31"/>
  <c r="F6" i="38" s="1"/>
  <c r="F7" i="38" l="1"/>
  <c r="F8" i="38" s="1"/>
  <c r="K33" i="38"/>
  <c r="N33" i="38"/>
  <c r="H33" i="38"/>
  <c r="J57" i="24"/>
  <c r="AB40" i="24"/>
  <c r="K71" i="38"/>
  <c r="N71" i="38"/>
  <c r="N70" i="38"/>
  <c r="K70" i="38"/>
  <c r="U21" i="29"/>
  <c r="V27" i="29"/>
  <c r="V28" i="29" s="1"/>
  <c r="V29" i="29" s="1"/>
  <c r="V30" i="29" s="1"/>
  <c r="V31" i="29" s="1"/>
  <c r="K61" i="38"/>
  <c r="N61" i="38"/>
  <c r="H59" i="38"/>
  <c r="H61" i="38" s="1"/>
  <c r="K42" i="38"/>
  <c r="N42" i="38" s="1"/>
  <c r="H47" i="38"/>
  <c r="K50" i="38"/>
  <c r="N50" i="38" s="1"/>
  <c r="N47" i="38" s="1"/>
  <c r="F11" i="38"/>
  <c r="N44" i="38" s="1"/>
  <c r="K58" i="38" l="1"/>
  <c r="K69" i="38" s="1"/>
  <c r="N18" i="38"/>
  <c r="N52" i="38"/>
  <c r="N31" i="38" s="1"/>
  <c r="H52" i="38"/>
  <c r="H31" i="38" s="1"/>
  <c r="K47" i="38"/>
  <c r="K52" i="38" s="1"/>
  <c r="K31" i="38" s="1"/>
  <c r="K18" i="38"/>
  <c r="K37" i="38"/>
  <c r="K44" i="38"/>
  <c r="H18" i="38"/>
  <c r="F34" i="26"/>
  <c r="F36" i="26" s="1"/>
  <c r="I35" i="26"/>
  <c r="J35" i="26" s="1"/>
  <c r="K35" i="26" s="1"/>
  <c r="E36" i="26"/>
  <c r="L35" i="26"/>
  <c r="G34" i="26" l="1"/>
  <c r="B2" i="22"/>
  <c r="B30" i="18"/>
  <c r="B3" i="17"/>
  <c r="B2" i="33"/>
  <c r="G36" i="26" l="1"/>
  <c r="H34" i="26"/>
  <c r="I34" i="26" s="1"/>
  <c r="J34" i="26" s="1"/>
  <c r="K34" i="26" s="1"/>
  <c r="L34" i="26" s="1"/>
  <c r="L36" i="26" s="1"/>
  <c r="K31" i="27" l="1"/>
  <c r="K32" i="26"/>
  <c r="I28" i="26"/>
  <c r="H28" i="26"/>
  <c r="B8" i="22" l="1"/>
  <c r="B22" i="15" l="1"/>
  <c r="C12" i="15"/>
  <c r="C4" i="15"/>
  <c r="J12" i="15"/>
  <c r="J4" i="15"/>
  <c r="G10" i="16"/>
  <c r="D10" i="16"/>
  <c r="A1" i="33"/>
  <c r="D109" i="24"/>
  <c r="D108" i="24"/>
  <c r="D107" i="24"/>
  <c r="D106" i="24"/>
  <c r="D105" i="24"/>
  <c r="D104" i="24"/>
  <c r="D102" i="24"/>
  <c r="D101" i="24"/>
  <c r="D100" i="24"/>
  <c r="D99" i="24"/>
  <c r="D98" i="24"/>
  <c r="D97" i="24"/>
  <c r="D95" i="24"/>
  <c r="D94" i="24"/>
  <c r="D93" i="24"/>
  <c r="D92" i="24"/>
  <c r="D91" i="24"/>
  <c r="D90" i="24"/>
  <c r="F90" i="27"/>
  <c r="I20" i="26" l="1"/>
  <c r="H20" i="26"/>
  <c r="H67" i="24"/>
  <c r="S67" i="24" s="1"/>
  <c r="G67" i="24"/>
  <c r="R67" i="24" s="1"/>
  <c r="E54" i="37" l="1"/>
  <c r="G39" i="37"/>
  <c r="G43" i="37"/>
  <c r="E37" i="37"/>
  <c r="E29" i="37"/>
  <c r="E28" i="37"/>
  <c r="Y22" i="29"/>
  <c r="X33" i="29"/>
  <c r="Y21" i="29"/>
  <c r="X21" i="29"/>
  <c r="X22" i="29"/>
  <c r="X25" i="29"/>
  <c r="F9" i="29"/>
  <c r="E9" i="29"/>
  <c r="I40" i="29"/>
  <c r="F25" i="29" l="1"/>
  <c r="F24" i="29"/>
  <c r="Y24" i="29" s="1"/>
  <c r="F23" i="29"/>
  <c r="F26" i="29"/>
  <c r="F27" i="29"/>
  <c r="F28" i="29"/>
  <c r="F29" i="29"/>
  <c r="F30" i="29"/>
  <c r="F31" i="29"/>
  <c r="X24" i="29"/>
  <c r="Y25" i="29"/>
  <c r="H31" i="35"/>
  <c r="I31" i="35" s="1"/>
  <c r="J31" i="35" s="1"/>
  <c r="K31" i="35" s="1"/>
  <c r="L31" i="35" s="1"/>
  <c r="M31" i="35" s="1"/>
  <c r="N31" i="35" s="1"/>
  <c r="O31" i="35" s="1"/>
  <c r="P31" i="35" s="1"/>
  <c r="Q31" i="35" s="1"/>
  <c r="E19" i="35"/>
  <c r="E16" i="35"/>
  <c r="X23" i="29" l="1"/>
  <c r="Y23" i="29"/>
  <c r="F21" i="25"/>
  <c r="G21" i="25" s="1"/>
  <c r="H21" i="25" s="1"/>
  <c r="I21" i="25" s="1"/>
  <c r="J21" i="25" s="1"/>
  <c r="K21" i="25" s="1"/>
  <c r="L21" i="25" s="1"/>
  <c r="M21" i="25" s="1"/>
  <c r="N21" i="25" s="1"/>
  <c r="O21" i="25" s="1"/>
  <c r="P21" i="25" s="1"/>
  <c r="Q21" i="25" s="1"/>
  <c r="R21" i="25" s="1"/>
  <c r="S21" i="25" s="1"/>
  <c r="T21" i="25" s="1"/>
  <c r="U21" i="25" s="1"/>
  <c r="V21" i="25" s="1"/>
  <c r="W21" i="25" s="1"/>
  <c r="E21" i="25"/>
  <c r="E18" i="25"/>
  <c r="F18" i="25" s="1"/>
  <c r="G18" i="25" s="1"/>
  <c r="H18" i="25" s="1"/>
  <c r="I18" i="25" s="1"/>
  <c r="J18" i="25" s="1"/>
  <c r="K18" i="25" s="1"/>
  <c r="L18" i="25" s="1"/>
  <c r="M18" i="25" s="1"/>
  <c r="N18" i="25" s="1"/>
  <c r="O18" i="25" s="1"/>
  <c r="P18" i="25" s="1"/>
  <c r="Q18" i="25" s="1"/>
  <c r="R18" i="25" s="1"/>
  <c r="S18" i="25" s="1"/>
  <c r="T18" i="25" s="1"/>
  <c r="U18" i="25" s="1"/>
  <c r="V18" i="25" s="1"/>
  <c r="D18" i="25"/>
  <c r="B14" i="25"/>
  <c r="B13" i="25"/>
  <c r="B11" i="25"/>
  <c r="B10" i="25"/>
  <c r="C20" i="21"/>
  <c r="C19" i="21"/>
  <c r="C12" i="21"/>
  <c r="C16" i="21" s="1"/>
  <c r="C11" i="21"/>
  <c r="C29" i="20"/>
  <c r="C28" i="20"/>
  <c r="C25" i="20"/>
  <c r="C16" i="20"/>
  <c r="C18" i="20" s="1"/>
  <c r="C19" i="20" s="1"/>
  <c r="C20" i="20" s="1"/>
  <c r="C15" i="20"/>
  <c r="C10" i="20"/>
  <c r="E50" i="8"/>
  <c r="E49" i="8"/>
  <c r="E48" i="8"/>
  <c r="E47" i="8"/>
  <c r="E46" i="8"/>
  <c r="E45" i="8"/>
  <c r="E44" i="8"/>
  <c r="E43" i="8"/>
  <c r="E42" i="8"/>
  <c r="E41" i="8"/>
  <c r="E40" i="8"/>
  <c r="E39" i="8"/>
  <c r="E38" i="8"/>
  <c r="E37" i="8"/>
  <c r="E36" i="8"/>
  <c r="E35" i="8"/>
  <c r="S34" i="8"/>
  <c r="Q34" i="8"/>
  <c r="E34" i="8"/>
  <c r="E33" i="8"/>
  <c r="E32" i="8"/>
  <c r="E31" i="8"/>
  <c r="K28" i="8"/>
  <c r="E15" i="6"/>
  <c r="E7" i="6"/>
  <c r="E12" i="6" s="1"/>
  <c r="E6" i="6"/>
  <c r="E11" i="6" s="1"/>
  <c r="E13" i="6" s="1"/>
  <c r="E5" i="6"/>
  <c r="D66" i="27"/>
  <c r="D67" i="27" s="1"/>
  <c r="D68" i="27" s="1"/>
  <c r="D69" i="27" s="1"/>
  <c r="D70" i="27" s="1"/>
  <c r="D71" i="27" s="1"/>
  <c r="D72" i="27" s="1"/>
  <c r="D73" i="27" s="1"/>
  <c r="D74" i="27" s="1"/>
  <c r="D75" i="27" s="1"/>
  <c r="D76" i="27" s="1"/>
  <c r="D77" i="27" s="1"/>
  <c r="D78" i="27" s="1"/>
  <c r="D79" i="27" s="1"/>
  <c r="D80" i="27" s="1"/>
  <c r="D81" i="27" s="1"/>
  <c r="D82" i="27" s="1"/>
  <c r="D83" i="27" s="1"/>
  <c r="D84" i="27" s="1"/>
  <c r="D41" i="27"/>
  <c r="D42" i="27" s="1"/>
  <c r="D43" i="27" s="1"/>
  <c r="D44" i="27" s="1"/>
  <c r="D45" i="27" s="1"/>
  <c r="D46" i="27" s="1"/>
  <c r="D47" i="27" s="1"/>
  <c r="D48" i="27" s="1"/>
  <c r="D49" i="27" s="1"/>
  <c r="D50" i="27" s="1"/>
  <c r="D51" i="27" s="1"/>
  <c r="D52" i="27" s="1"/>
  <c r="D53" i="27" s="1"/>
  <c r="D54" i="27" s="1"/>
  <c r="D55" i="27" s="1"/>
  <c r="D56" i="27" s="1"/>
  <c r="D57" i="27" s="1"/>
  <c r="D58" i="27" s="1"/>
  <c r="D59" i="27" s="1"/>
  <c r="F27" i="27"/>
  <c r="H26" i="27"/>
  <c r="G26" i="27"/>
  <c r="I26" i="27" s="1"/>
  <c r="J26" i="27" s="1"/>
  <c r="H25" i="27"/>
  <c r="G25" i="27"/>
  <c r="I25" i="27" s="1"/>
  <c r="J25" i="27" s="1"/>
  <c r="F24" i="27"/>
  <c r="H15" i="27"/>
  <c r="G15" i="27"/>
  <c r="I15" i="27" s="1"/>
  <c r="J15" i="27" s="1"/>
  <c r="F14" i="27"/>
  <c r="F13" i="27" s="1"/>
  <c r="F11" i="27"/>
  <c r="F10" i="27"/>
  <c r="G6" i="27"/>
  <c r="G27" i="27" s="1"/>
  <c r="F5" i="27"/>
  <c r="G16" i="7"/>
  <c r="G17" i="7" s="1"/>
  <c r="G18" i="7" s="1"/>
  <c r="G19" i="7" s="1"/>
  <c r="G20" i="7" s="1"/>
  <c r="G21" i="7" s="1"/>
  <c r="G22" i="7" s="1"/>
  <c r="G23" i="7" s="1"/>
  <c r="G24" i="7" s="1"/>
  <c r="E16" i="7"/>
  <c r="E17" i="7" s="1"/>
  <c r="G15" i="7"/>
  <c r="E15" i="7"/>
  <c r="D15" i="7"/>
  <c r="D16" i="7" s="1"/>
  <c r="C15" i="7"/>
  <c r="C16" i="7" s="1"/>
  <c r="C17" i="7" s="1"/>
  <c r="C18" i="7" s="1"/>
  <c r="C19" i="7" s="1"/>
  <c r="C20" i="7" s="1"/>
  <c r="C21" i="7" s="1"/>
  <c r="C22" i="7" s="1"/>
  <c r="C23" i="7" s="1"/>
  <c r="C24" i="7" s="1"/>
  <c r="D14" i="7"/>
  <c r="B14" i="7"/>
  <c r="B15" i="7" s="1"/>
  <c r="B16" i="7" s="1"/>
  <c r="B17" i="7" s="1"/>
  <c r="B18" i="7" s="1"/>
  <c r="B19" i="7" s="1"/>
  <c r="B20" i="7" s="1"/>
  <c r="B21" i="7" s="1"/>
  <c r="B22" i="7" s="1"/>
  <c r="B23" i="7" s="1"/>
  <c r="B24" i="7" s="1"/>
  <c r="E13" i="7"/>
  <c r="C13" i="7"/>
  <c r="E12" i="7"/>
  <c r="C12" i="7"/>
  <c r="E11" i="7"/>
  <c r="C11" i="7"/>
  <c r="E10" i="7"/>
  <c r="C10" i="7"/>
  <c r="E9" i="7"/>
  <c r="C9" i="7"/>
  <c r="A9" i="7"/>
  <c r="A10" i="7" s="1"/>
  <c r="A11" i="7" s="1"/>
  <c r="A12" i="7" s="1"/>
  <c r="A13" i="7" s="1"/>
  <c r="A14" i="7" s="1"/>
  <c r="A15" i="7" s="1"/>
  <c r="A16" i="7" s="1"/>
  <c r="A17" i="7" s="1"/>
  <c r="A18" i="7" s="1"/>
  <c r="A19" i="7" s="1"/>
  <c r="A20" i="7" s="1"/>
  <c r="A21" i="7" s="1"/>
  <c r="A22" i="7" s="1"/>
  <c r="A23" i="7" s="1"/>
  <c r="A24" i="7" s="1"/>
  <c r="J7" i="7"/>
  <c r="J6" i="7" s="1"/>
  <c r="I7" i="7"/>
  <c r="I6" i="7" s="1"/>
  <c r="H6" i="7"/>
  <c r="L23" i="12"/>
  <c r="M23" i="12" s="1"/>
  <c r="N23" i="12" s="1"/>
  <c r="O23" i="12" s="1"/>
  <c r="P23" i="12" s="1"/>
  <c r="Q23" i="12" s="1"/>
  <c r="S21" i="12"/>
  <c r="R21" i="12"/>
  <c r="Q21" i="12"/>
  <c r="P21" i="12"/>
  <c r="O21" i="12"/>
  <c r="N21" i="12"/>
  <c r="M21" i="12"/>
  <c r="L21" i="12"/>
  <c r="K21" i="12"/>
  <c r="J21" i="12"/>
  <c r="R19" i="12"/>
  <c r="Q19" i="12"/>
  <c r="P19" i="12"/>
  <c r="O19" i="12"/>
  <c r="N19" i="12"/>
  <c r="M19" i="12"/>
  <c r="L19" i="12"/>
  <c r="K19" i="12"/>
  <c r="I19" i="12"/>
  <c r="F19" i="12"/>
  <c r="S17" i="12"/>
  <c r="S16" i="12" s="1"/>
  <c r="S15" i="12" s="1"/>
  <c r="S14" i="12" s="1"/>
  <c r="S13" i="12" s="1"/>
  <c r="S12" i="12" s="1"/>
  <c r="J40" i="26" s="1"/>
  <c r="R16" i="12"/>
  <c r="Q16" i="12"/>
  <c r="Q15" i="12" s="1"/>
  <c r="P16" i="12"/>
  <c r="O16" i="12"/>
  <c r="O15" i="12" s="1"/>
  <c r="O14" i="12" s="1"/>
  <c r="O13" i="12" s="1"/>
  <c r="O12" i="12" s="1"/>
  <c r="O11" i="12" s="1"/>
  <c r="N16" i="12"/>
  <c r="N15" i="12" s="1"/>
  <c r="N14" i="12" s="1"/>
  <c r="N13" i="12" s="1"/>
  <c r="N12" i="12" s="1"/>
  <c r="N11" i="12" s="1"/>
  <c r="M16" i="12"/>
  <c r="M15" i="12" s="1"/>
  <c r="M14" i="12" s="1"/>
  <c r="M13" i="12" s="1"/>
  <c r="M12" i="12" s="1"/>
  <c r="M11" i="12" s="1"/>
  <c r="L16" i="12"/>
  <c r="K16" i="12"/>
  <c r="K15" i="12" s="1"/>
  <c r="K14" i="12" s="1"/>
  <c r="K13" i="12" s="1"/>
  <c r="K12" i="12" s="1"/>
  <c r="J16" i="12"/>
  <c r="R15" i="12"/>
  <c r="P15" i="12"/>
  <c r="P14" i="12" s="1"/>
  <c r="L15" i="12"/>
  <c r="H4" i="15" s="1"/>
  <c r="J15" i="12"/>
  <c r="G15" i="12"/>
  <c r="G14" i="12" s="1"/>
  <c r="G13" i="12" s="1"/>
  <c r="G12" i="12" s="1"/>
  <c r="G11" i="12" s="1"/>
  <c r="R14" i="12"/>
  <c r="R13" i="12" s="1"/>
  <c r="L14" i="12"/>
  <c r="J14" i="12"/>
  <c r="J13" i="12" s="1"/>
  <c r="J12" i="12" s="1"/>
  <c r="I14" i="12"/>
  <c r="J19" i="12" s="1"/>
  <c r="H14" i="12"/>
  <c r="F14" i="12"/>
  <c r="L13" i="12"/>
  <c r="L12" i="12" s="1"/>
  <c r="F13" i="12"/>
  <c r="F12" i="12" s="1"/>
  <c r="E13" i="12"/>
  <c r="E12" i="12" s="1"/>
  <c r="I12" i="12"/>
  <c r="I11" i="12" s="1"/>
  <c r="H12" i="12"/>
  <c r="E11" i="12"/>
  <c r="L11" i="12"/>
  <c r="H11" i="12"/>
  <c r="F11" i="12"/>
  <c r="D11" i="12"/>
  <c r="I9" i="12"/>
  <c r="J9" i="12" s="1"/>
  <c r="K9" i="12" s="1"/>
  <c r="G9" i="12"/>
  <c r="J30" i="29"/>
  <c r="J31" i="29" s="1"/>
  <c r="J29" i="29"/>
  <c r="J28" i="29"/>
  <c r="J27" i="29"/>
  <c r="J26" i="29" s="1"/>
  <c r="J25" i="29" s="1"/>
  <c r="J24" i="29" s="1"/>
  <c r="J23" i="29" s="1"/>
  <c r="J22" i="29" s="1"/>
  <c r="I22" i="29" s="1"/>
  <c r="I23" i="29" s="1"/>
  <c r="I24" i="29" s="1"/>
  <c r="I25" i="29" s="1"/>
  <c r="I26" i="29" s="1"/>
  <c r="M23" i="29"/>
  <c r="M24" i="29" s="1"/>
  <c r="M22" i="29"/>
  <c r="K22" i="29" s="1"/>
  <c r="D19" i="29"/>
  <c r="D18" i="29" s="1"/>
  <c r="D17" i="29" s="1"/>
  <c r="D16" i="29" s="1"/>
  <c r="D15" i="29" s="1"/>
  <c r="D14" i="29" s="1"/>
  <c r="D13" i="29" s="1"/>
  <c r="D12" i="29" s="1"/>
  <c r="C19" i="29"/>
  <c r="F56" i="23"/>
  <c r="E35" i="23"/>
  <c r="E34" i="23"/>
  <c r="E15" i="24" s="1"/>
  <c r="B10" i="23"/>
  <c r="B8" i="23"/>
  <c r="B95" i="37"/>
  <c r="B93" i="37"/>
  <c r="B91" i="37"/>
  <c r="E42" i="37"/>
  <c r="E40" i="37"/>
  <c r="R8" i="22" s="1"/>
  <c r="F17" i="37"/>
  <c r="E13" i="37"/>
  <c r="B10" i="37"/>
  <c r="B8" i="37"/>
  <c r="T13" i="31"/>
  <c r="T14" i="31" s="1"/>
  <c r="T15" i="31" s="1"/>
  <c r="T16" i="31" s="1"/>
  <c r="T17" i="31" s="1"/>
  <c r="T18" i="31" s="1"/>
  <c r="T19" i="31" s="1"/>
  <c r="T20" i="31" s="1"/>
  <c r="T21" i="31" s="1"/>
  <c r="T22" i="31" s="1"/>
  <c r="S13" i="31"/>
  <c r="S12" i="31" s="1"/>
  <c r="R13" i="31"/>
  <c r="R14" i="31" s="1"/>
  <c r="N13" i="31"/>
  <c r="N14" i="31" s="1"/>
  <c r="N15" i="31" s="1"/>
  <c r="N16" i="31" s="1"/>
  <c r="N17" i="31" s="1"/>
  <c r="N18" i="31" s="1"/>
  <c r="N19" i="31" s="1"/>
  <c r="N20" i="31" s="1"/>
  <c r="N21" i="31" s="1"/>
  <c r="N22" i="31" s="1"/>
  <c r="K13" i="31"/>
  <c r="K14" i="31" s="1"/>
  <c r="K15" i="31" s="1"/>
  <c r="K16" i="31" s="1"/>
  <c r="K17" i="31" s="1"/>
  <c r="K18" i="31" s="1"/>
  <c r="K19" i="31" s="1"/>
  <c r="K20" i="31" s="1"/>
  <c r="K21" i="31" s="1"/>
  <c r="K22" i="31" s="1"/>
  <c r="B13" i="31"/>
  <c r="B14" i="31" s="1"/>
  <c r="B15" i="31" s="1"/>
  <c r="B16" i="31" s="1"/>
  <c r="B17" i="31" s="1"/>
  <c r="B18" i="31" s="1"/>
  <c r="B19" i="31" s="1"/>
  <c r="B20" i="31" s="1"/>
  <c r="B21" i="31" s="1"/>
  <c r="B22" i="31" s="1"/>
  <c r="AT12" i="31"/>
  <c r="AT13" i="31" s="1"/>
  <c r="AT14" i="31" s="1"/>
  <c r="AT15" i="31" s="1"/>
  <c r="AT16" i="31" s="1"/>
  <c r="AT17" i="31" s="1"/>
  <c r="AT18" i="31" s="1"/>
  <c r="AT19" i="31" s="1"/>
  <c r="AT20" i="31" s="1"/>
  <c r="AT21" i="31" s="1"/>
  <c r="AT22" i="31" s="1"/>
  <c r="AQ12" i="31"/>
  <c r="AQ13" i="31" s="1"/>
  <c r="AQ14" i="31" s="1"/>
  <c r="AQ15" i="31" s="1"/>
  <c r="AQ16" i="31" s="1"/>
  <c r="AQ17" i="31" s="1"/>
  <c r="AQ18" i="31" s="1"/>
  <c r="AQ19" i="31" s="1"/>
  <c r="AQ20" i="31" s="1"/>
  <c r="AQ21" i="31" s="1"/>
  <c r="AQ22" i="31" s="1"/>
  <c r="AN12" i="31"/>
  <c r="AN13" i="31" s="1"/>
  <c r="AN14" i="31" s="1"/>
  <c r="AN15" i="31" s="1"/>
  <c r="AN16" i="31" s="1"/>
  <c r="AN17" i="31" s="1"/>
  <c r="AN18" i="31" s="1"/>
  <c r="AN19" i="31" s="1"/>
  <c r="AN20" i="31" s="1"/>
  <c r="AN21" i="31" s="1"/>
  <c r="AN22" i="31" s="1"/>
  <c r="AK12" i="31"/>
  <c r="AK13" i="31" s="1"/>
  <c r="AK14" i="31" s="1"/>
  <c r="AK15" i="31" s="1"/>
  <c r="AK16" i="31" s="1"/>
  <c r="AK17" i="31" s="1"/>
  <c r="AK18" i="31" s="1"/>
  <c r="AK19" i="31" s="1"/>
  <c r="AK20" i="31" s="1"/>
  <c r="AK21" i="31" s="1"/>
  <c r="AK22" i="31" s="1"/>
  <c r="AH12" i="31"/>
  <c r="AH13" i="31" s="1"/>
  <c r="AH14" i="31" s="1"/>
  <c r="AH15" i="31" s="1"/>
  <c r="AH16" i="31" s="1"/>
  <c r="AH17" i="31" s="1"/>
  <c r="AH18" i="31" s="1"/>
  <c r="AH19" i="31" s="1"/>
  <c r="AH20" i="31" s="1"/>
  <c r="AH21" i="31" s="1"/>
  <c r="AH22" i="31" s="1"/>
  <c r="AE12" i="31"/>
  <c r="AE13" i="31" s="1"/>
  <c r="AE14" i="31" s="1"/>
  <c r="AE15" i="31" s="1"/>
  <c r="AE16" i="31" s="1"/>
  <c r="AE17" i="31" s="1"/>
  <c r="AE18" i="31" s="1"/>
  <c r="AE19" i="31" s="1"/>
  <c r="AE20" i="31" s="1"/>
  <c r="AE21" i="31" s="1"/>
  <c r="AE22" i="31" s="1"/>
  <c r="W12" i="31"/>
  <c r="W13" i="31" s="1"/>
  <c r="W14" i="31" s="1"/>
  <c r="W15" i="31" s="1"/>
  <c r="W16" i="31" s="1"/>
  <c r="W17" i="31" s="1"/>
  <c r="W18" i="31" s="1"/>
  <c r="W19" i="31" s="1"/>
  <c r="W20" i="31" s="1"/>
  <c r="W21" i="31" s="1"/>
  <c r="W22" i="31" s="1"/>
  <c r="V12" i="31"/>
  <c r="T12" i="31"/>
  <c r="R12" i="31"/>
  <c r="N12" i="31"/>
  <c r="K12" i="31"/>
  <c r="H12" i="31"/>
  <c r="H13" i="31" s="1"/>
  <c r="H14" i="31" s="1"/>
  <c r="H15" i="31" s="1"/>
  <c r="H16" i="31" s="1"/>
  <c r="H17" i="31" s="1"/>
  <c r="H18" i="31" s="1"/>
  <c r="H19" i="31" s="1"/>
  <c r="H20" i="31" s="1"/>
  <c r="H21" i="31" s="1"/>
  <c r="H22" i="31" s="1"/>
  <c r="E12" i="31"/>
  <c r="E13" i="31" s="1"/>
  <c r="E14" i="31" s="1"/>
  <c r="E15" i="31" s="1"/>
  <c r="E16" i="31" s="1"/>
  <c r="E17" i="31" s="1"/>
  <c r="E18" i="31" s="1"/>
  <c r="E19" i="31" s="1"/>
  <c r="E20" i="31" s="1"/>
  <c r="E21" i="31" s="1"/>
  <c r="E22" i="31" s="1"/>
  <c r="B12" i="31"/>
  <c r="V11" i="31"/>
  <c r="S11" i="31"/>
  <c r="AR9" i="31"/>
  <c r="AO9" i="31"/>
  <c r="F89" i="27" s="1"/>
  <c r="AL9" i="31"/>
  <c r="AI9" i="31"/>
  <c r="E56" i="37" s="1"/>
  <c r="E57" i="37" s="1"/>
  <c r="AF9" i="31"/>
  <c r="L18" i="27" s="1"/>
  <c r="AD9" i="31"/>
  <c r="AC9" i="31"/>
  <c r="AA9" i="31"/>
  <c r="Z9" i="31"/>
  <c r="G45" i="37" s="1"/>
  <c r="X9" i="31"/>
  <c r="U9" i="31"/>
  <c r="R9" i="31"/>
  <c r="Q9" i="31"/>
  <c r="L9" i="31"/>
  <c r="I9" i="31"/>
  <c r="C14" i="25" s="1"/>
  <c r="F9" i="31"/>
  <c r="C13" i="25" s="1"/>
  <c r="C9" i="31"/>
  <c r="AR8" i="31"/>
  <c r="D87" i="24"/>
  <c r="D86" i="24"/>
  <c r="D85" i="24"/>
  <c r="D84" i="24"/>
  <c r="D83" i="24"/>
  <c r="D82" i="24"/>
  <c r="D80" i="24"/>
  <c r="D79" i="24"/>
  <c r="D78" i="24"/>
  <c r="D77" i="24"/>
  <c r="D76" i="24"/>
  <c r="D75" i="24"/>
  <c r="D73" i="24"/>
  <c r="D72" i="24"/>
  <c r="D71" i="24"/>
  <c r="D70" i="24"/>
  <c r="D69" i="24"/>
  <c r="D68" i="24"/>
  <c r="B64" i="24"/>
  <c r="B62" i="24"/>
  <c r="E16" i="24"/>
  <c r="P16" i="24" s="1"/>
  <c r="P11" i="24"/>
  <c r="E11" i="24"/>
  <c r="P10" i="24"/>
  <c r="P13" i="24" s="1"/>
  <c r="E10" i="24"/>
  <c r="P9" i="24"/>
  <c r="E9" i="24"/>
  <c r="H150" i="26"/>
  <c r="H148" i="26"/>
  <c r="H146" i="26"/>
  <c r="H144" i="26"/>
  <c r="H142" i="26"/>
  <c r="H140" i="26"/>
  <c r="H138" i="26"/>
  <c r="H136" i="26"/>
  <c r="H132" i="26"/>
  <c r="L115" i="26"/>
  <c r="K115" i="26"/>
  <c r="L114" i="26"/>
  <c r="K114" i="26"/>
  <c r="H112" i="26"/>
  <c r="G112" i="26"/>
  <c r="F112" i="26"/>
  <c r="L110" i="26"/>
  <c r="K110" i="26"/>
  <c r="J110" i="26"/>
  <c r="I110" i="26"/>
  <c r="H110" i="26"/>
  <c r="G110" i="26"/>
  <c r="F110" i="26"/>
  <c r="E110" i="26"/>
  <c r="L109" i="26"/>
  <c r="K109" i="26"/>
  <c r="J109" i="26"/>
  <c r="I109" i="26"/>
  <c r="H109" i="26"/>
  <c r="G109" i="26"/>
  <c r="F109" i="26"/>
  <c r="E109" i="26"/>
  <c r="C109" i="26"/>
  <c r="L107" i="26"/>
  <c r="K107" i="26"/>
  <c r="J107" i="26"/>
  <c r="I107" i="26"/>
  <c r="H107" i="26"/>
  <c r="G107" i="26"/>
  <c r="F107" i="26"/>
  <c r="E107" i="26"/>
  <c r="L104" i="26"/>
  <c r="K104" i="26"/>
  <c r="J104" i="26"/>
  <c r="I104" i="26"/>
  <c r="H104" i="26"/>
  <c r="G104" i="26"/>
  <c r="F104" i="26"/>
  <c r="E104" i="26"/>
  <c r="C104" i="26"/>
  <c r="C110" i="26" s="1"/>
  <c r="L103" i="26"/>
  <c r="K103" i="26"/>
  <c r="J103" i="26"/>
  <c r="I103" i="26"/>
  <c r="H103" i="26"/>
  <c r="G103" i="26"/>
  <c r="F103" i="26"/>
  <c r="E103" i="26"/>
  <c r="C103" i="26"/>
  <c r="C102" i="26"/>
  <c r="C101" i="26"/>
  <c r="C107" i="26" s="1"/>
  <c r="D96" i="26"/>
  <c r="D95" i="26"/>
  <c r="N94" i="26"/>
  <c r="D94" i="26"/>
  <c r="D93" i="26"/>
  <c r="D92" i="26"/>
  <c r="D89" i="26"/>
  <c r="D88" i="26"/>
  <c r="D87" i="26"/>
  <c r="D86" i="26"/>
  <c r="D85" i="26"/>
  <c r="D84" i="26"/>
  <c r="D83" i="26"/>
  <c r="D82" i="26"/>
  <c r="D81" i="26"/>
  <c r="D80" i="26"/>
  <c r="D79" i="26"/>
  <c r="L71" i="26"/>
  <c r="K71" i="26"/>
  <c r="J71" i="26"/>
  <c r="H71" i="26"/>
  <c r="G71" i="26"/>
  <c r="F71" i="26"/>
  <c r="E71" i="26"/>
  <c r="D68" i="26"/>
  <c r="D67" i="26"/>
  <c r="D65" i="26"/>
  <c r="D63" i="26"/>
  <c r="D61" i="26"/>
  <c r="D60" i="26"/>
  <c r="D58" i="26"/>
  <c r="D56" i="26"/>
  <c r="D55" i="26"/>
  <c r="D54" i="26"/>
  <c r="L53" i="26"/>
  <c r="K53" i="26"/>
  <c r="H53" i="26"/>
  <c r="G53" i="26"/>
  <c r="F53" i="26"/>
  <c r="E53" i="26"/>
  <c r="D53" i="26"/>
  <c r="J52" i="26"/>
  <c r="J53" i="26" s="1"/>
  <c r="I52" i="26"/>
  <c r="I112" i="26" s="1"/>
  <c r="L50" i="26"/>
  <c r="K50" i="26"/>
  <c r="E50" i="26"/>
  <c r="E115" i="26" s="1"/>
  <c r="L49" i="26"/>
  <c r="E49" i="26"/>
  <c r="E114" i="26" s="1"/>
  <c r="J47" i="26"/>
  <c r="J29" i="26" s="1"/>
  <c r="I47" i="26"/>
  <c r="I29" i="26" s="1"/>
  <c r="H47" i="26"/>
  <c r="H29" i="26" s="1"/>
  <c r="L46" i="26"/>
  <c r="K46" i="26"/>
  <c r="H46" i="26"/>
  <c r="G46" i="26"/>
  <c r="F46" i="26"/>
  <c r="E46" i="26"/>
  <c r="L43" i="26"/>
  <c r="L44" i="26" s="1"/>
  <c r="K43" i="26"/>
  <c r="J43" i="26"/>
  <c r="H43" i="26"/>
  <c r="G43" i="26"/>
  <c r="F43" i="26"/>
  <c r="E43" i="26"/>
  <c r="E44" i="26" s="1"/>
  <c r="I42" i="26"/>
  <c r="I71" i="26" s="1"/>
  <c r="K40" i="26"/>
  <c r="K44" i="26" s="1"/>
  <c r="K73" i="26" s="1"/>
  <c r="L39" i="26"/>
  <c r="K39" i="26"/>
  <c r="H39" i="26"/>
  <c r="G39" i="26"/>
  <c r="F39" i="26"/>
  <c r="E39" i="26"/>
  <c r="J38" i="26"/>
  <c r="I38" i="26"/>
  <c r="J37" i="26"/>
  <c r="J46" i="26" s="1"/>
  <c r="I37" i="26"/>
  <c r="L32" i="26"/>
  <c r="G32" i="26"/>
  <c r="G16" i="16" s="1"/>
  <c r="F32" i="26"/>
  <c r="D16" i="16" s="1"/>
  <c r="E32" i="26"/>
  <c r="C16" i="16" s="1"/>
  <c r="L29" i="26"/>
  <c r="L28" i="26"/>
  <c r="K28" i="26"/>
  <c r="E28" i="26"/>
  <c r="L27" i="26"/>
  <c r="K27" i="26"/>
  <c r="E27" i="26"/>
  <c r="L25" i="26"/>
  <c r="O24" i="26"/>
  <c r="O25" i="26" s="1"/>
  <c r="S23" i="26"/>
  <c r="C6" i="15" s="1"/>
  <c r="C14" i="15" s="1"/>
  <c r="J20" i="26"/>
  <c r="J115" i="26" s="1"/>
  <c r="I50" i="26"/>
  <c r="H115" i="26"/>
  <c r="G20" i="26"/>
  <c r="G50" i="26" s="1"/>
  <c r="F20" i="26"/>
  <c r="F115" i="26" s="1"/>
  <c r="F14" i="26"/>
  <c r="G14" i="26" s="1"/>
  <c r="H14" i="26" s="1"/>
  <c r="I14" i="26" s="1"/>
  <c r="J14" i="26" s="1"/>
  <c r="G13" i="26"/>
  <c r="H13" i="26" s="1"/>
  <c r="I13" i="26" s="1"/>
  <c r="J13" i="26" s="1"/>
  <c r="K13" i="26" s="1"/>
  <c r="L13" i="26" s="1"/>
  <c r="F13" i="26"/>
  <c r="G12" i="26"/>
  <c r="H12" i="26" s="1"/>
  <c r="I12" i="26" s="1"/>
  <c r="J12" i="26" s="1"/>
  <c r="K12" i="26" s="1"/>
  <c r="L12" i="26" s="1"/>
  <c r="B9" i="26"/>
  <c r="E5" i="26"/>
  <c r="D112" i="26" s="1"/>
  <c r="D5" i="26"/>
  <c r="D4" i="26"/>
  <c r="J16" i="33"/>
  <c r="I16" i="33"/>
  <c r="G16" i="33"/>
  <c r="F16" i="33"/>
  <c r="B16" i="33"/>
  <c r="J15" i="33"/>
  <c r="I15" i="33"/>
  <c r="G15" i="33"/>
  <c r="F15" i="33"/>
  <c r="B15" i="33"/>
  <c r="J14" i="33"/>
  <c r="I14" i="33"/>
  <c r="G14" i="33"/>
  <c r="F14" i="33"/>
  <c r="B14" i="33"/>
  <c r="J13" i="33"/>
  <c r="I13" i="33"/>
  <c r="G13" i="33"/>
  <c r="F13" i="33"/>
  <c r="B13" i="33"/>
  <c r="J12" i="33"/>
  <c r="I12" i="33"/>
  <c r="G12" i="33"/>
  <c r="F12" i="33"/>
  <c r="B12" i="33"/>
  <c r="J11" i="33"/>
  <c r="I11" i="33"/>
  <c r="G11" i="33"/>
  <c r="F11" i="33"/>
  <c r="B11" i="33"/>
  <c r="J10" i="33"/>
  <c r="I10" i="33"/>
  <c r="G10" i="33"/>
  <c r="F10" i="33"/>
  <c r="B10" i="33"/>
  <c r="J9" i="33"/>
  <c r="I9" i="33"/>
  <c r="G9" i="33"/>
  <c r="F9" i="33"/>
  <c r="B9" i="33"/>
  <c r="Z7" i="33"/>
  <c r="W7" i="33"/>
  <c r="S7" i="33"/>
  <c r="P7" i="33"/>
  <c r="I7" i="33"/>
  <c r="L19" i="33" s="1"/>
  <c r="F7" i="33"/>
  <c r="C19" i="33" s="1"/>
  <c r="P6" i="33"/>
  <c r="F6" i="33" s="1"/>
  <c r="B4" i="33"/>
  <c r="H48" i="16"/>
  <c r="H46" i="16"/>
  <c r="H44" i="16"/>
  <c r="H42" i="16"/>
  <c r="H40" i="16"/>
  <c r="H38" i="16"/>
  <c r="H36" i="16"/>
  <c r="H34" i="16"/>
  <c r="B19" i="16"/>
  <c r="G15" i="16"/>
  <c r="D15" i="16"/>
  <c r="C15" i="16"/>
  <c r="B6" i="16"/>
  <c r="G58" i="17"/>
  <c r="H56" i="17"/>
  <c r="H54" i="17"/>
  <c r="H52" i="17"/>
  <c r="H50" i="17"/>
  <c r="H48" i="17"/>
  <c r="H46" i="17"/>
  <c r="H44" i="17"/>
  <c r="K14" i="17"/>
  <c r="K15" i="17" s="1"/>
  <c r="K16" i="17" s="1"/>
  <c r="K17" i="17" s="1"/>
  <c r="K18" i="17" s="1"/>
  <c r="K19" i="17" s="1"/>
  <c r="K20" i="17" s="1"/>
  <c r="K21" i="17" s="1"/>
  <c r="K22" i="17" s="1"/>
  <c r="K23" i="17" s="1"/>
  <c r="K24" i="17" s="1"/>
  <c r="K25" i="17" s="1"/>
  <c r="K26" i="17" s="1"/>
  <c r="K27" i="17" s="1"/>
  <c r="G49" i="18"/>
  <c r="H47" i="18"/>
  <c r="H45" i="18"/>
  <c r="H43" i="18"/>
  <c r="H41" i="18"/>
  <c r="H39" i="18"/>
  <c r="H37" i="18"/>
  <c r="H35" i="18"/>
  <c r="O23" i="18"/>
  <c r="O22" i="18"/>
  <c r="O21" i="18"/>
  <c r="O20" i="18"/>
  <c r="G40" i="15"/>
  <c r="H38" i="15"/>
  <c r="H36" i="15"/>
  <c r="H34" i="15"/>
  <c r="H32" i="15"/>
  <c r="H30" i="15"/>
  <c r="H28" i="15"/>
  <c r="H26" i="15"/>
  <c r="J18" i="15"/>
  <c r="J17" i="15"/>
  <c r="J16" i="15"/>
  <c r="J15" i="15"/>
  <c r="J14" i="15"/>
  <c r="J10" i="15"/>
  <c r="J9" i="15"/>
  <c r="J8" i="15"/>
  <c r="J7" i="15"/>
  <c r="J6" i="15"/>
  <c r="H35" i="22"/>
  <c r="H33" i="22"/>
  <c r="H31" i="22"/>
  <c r="H29" i="22"/>
  <c r="H27" i="22"/>
  <c r="H25" i="22"/>
  <c r="H23" i="22"/>
  <c r="B14" i="22"/>
  <c r="B13" i="22"/>
  <c r="L9" i="22"/>
  <c r="B30" i="15"/>
  <c r="B45" i="18"/>
  <c r="B49" i="18"/>
  <c r="E140" i="26"/>
  <c r="B47" i="18"/>
  <c r="E26" i="15"/>
  <c r="F29" i="22"/>
  <c r="E58" i="17"/>
  <c r="B144" i="26"/>
  <c r="E136" i="26"/>
  <c r="F33" i="22"/>
  <c r="E38" i="16"/>
  <c r="B28" i="15"/>
  <c r="E144" i="26"/>
  <c r="B27" i="22"/>
  <c r="E30" i="15"/>
  <c r="F31" i="22"/>
  <c r="B38" i="16"/>
  <c r="E47" i="18"/>
  <c r="B34" i="15"/>
  <c r="B43" i="18"/>
  <c r="B138" i="26"/>
  <c r="E36" i="16"/>
  <c r="E44" i="17"/>
  <c r="E54" i="17"/>
  <c r="B29" i="22"/>
  <c r="B31" i="22"/>
  <c r="E46" i="16"/>
  <c r="B148" i="26"/>
  <c r="E138" i="26"/>
  <c r="E28" i="15"/>
  <c r="B34" i="16"/>
  <c r="E38" i="15"/>
  <c r="B56" i="17"/>
  <c r="B132" i="26"/>
  <c r="F23" i="22"/>
  <c r="E49" i="18"/>
  <c r="B140" i="26"/>
  <c r="B146" i="26"/>
  <c r="B58" i="17"/>
  <c r="E44" i="16"/>
  <c r="B44" i="16"/>
  <c r="E34" i="16"/>
  <c r="B36" i="16"/>
  <c r="F27" i="22"/>
  <c r="B36" i="15"/>
  <c r="E48" i="16"/>
  <c r="B44" i="17"/>
  <c r="B41" i="18"/>
  <c r="E148" i="26"/>
  <c r="B26" i="15"/>
  <c r="B46" i="16"/>
  <c r="E146" i="26"/>
  <c r="E45" i="18"/>
  <c r="E41" i="18"/>
  <c r="E46" i="17"/>
  <c r="B52" i="17"/>
  <c r="B35" i="22"/>
  <c r="E50" i="17"/>
  <c r="E56" i="17"/>
  <c r="B46" i="17"/>
  <c r="F35" i="22"/>
  <c r="B142" i="26"/>
  <c r="B48" i="16"/>
  <c r="E52" i="17"/>
  <c r="B48" i="17"/>
  <c r="B23" i="22"/>
  <c r="E36" i="15"/>
  <c r="B35" i="18"/>
  <c r="B54" i="17"/>
  <c r="B50" i="17"/>
  <c r="E43" i="18"/>
  <c r="F25" i="22"/>
  <c r="B40" i="15"/>
  <c r="B39" i="18"/>
  <c r="E34" i="15"/>
  <c r="B136" i="26"/>
  <c r="E42" i="16"/>
  <c r="B38" i="15"/>
  <c r="B33" i="22"/>
  <c r="E32" i="15"/>
  <c r="B150" i="26"/>
  <c r="E40" i="16"/>
  <c r="E37" i="18"/>
  <c r="P13" i="12" l="1"/>
  <c r="P12" i="12"/>
  <c r="O24" i="18"/>
  <c r="E18" i="7"/>
  <c r="H12" i="15"/>
  <c r="Q14" i="12"/>
  <c r="E16" i="6"/>
  <c r="J11" i="12"/>
  <c r="K21" i="29"/>
  <c r="L22" i="29" s="1"/>
  <c r="D17" i="7"/>
  <c r="C21" i="21"/>
  <c r="K24" i="29"/>
  <c r="Q24" i="29" s="1"/>
  <c r="M25" i="29"/>
  <c r="I27" i="29"/>
  <c r="I28" i="29" s="1"/>
  <c r="O26" i="29"/>
  <c r="H40" i="26"/>
  <c r="H44" i="26" s="1"/>
  <c r="H45" i="26" s="1"/>
  <c r="K11" i="12"/>
  <c r="G61" i="23"/>
  <c r="C30" i="20"/>
  <c r="G22" i="37"/>
  <c r="C21" i="20"/>
  <c r="L9" i="12"/>
  <c r="M9" i="12" s="1"/>
  <c r="N9" i="12" s="1"/>
  <c r="O9" i="12" s="1"/>
  <c r="P9" i="12" s="1"/>
  <c r="Q9" i="12" s="1"/>
  <c r="H22" i="26"/>
  <c r="K23" i="29"/>
  <c r="Q23" i="29" s="1"/>
  <c r="I30" i="29"/>
  <c r="I31" i="29" s="1"/>
  <c r="K7" i="7"/>
  <c r="E13" i="24"/>
  <c r="E12" i="24" s="1"/>
  <c r="E37" i="24" s="1"/>
  <c r="I8" i="22"/>
  <c r="G8" i="22" s="1"/>
  <c r="R12" i="12"/>
  <c r="G5" i="27"/>
  <c r="P12" i="24"/>
  <c r="H79" i="38"/>
  <c r="Q20" i="38"/>
  <c r="S9" i="31"/>
  <c r="G40" i="26" s="1"/>
  <c r="G44" i="26" s="1"/>
  <c r="G73" i="26" s="1"/>
  <c r="G74" i="26" s="1"/>
  <c r="J44" i="26"/>
  <c r="J45" i="26" s="1"/>
  <c r="I39" i="26"/>
  <c r="O13" i="31"/>
  <c r="O9" i="31" s="1"/>
  <c r="J39" i="26"/>
  <c r="I53" i="26"/>
  <c r="H19" i="12"/>
  <c r="N57" i="38"/>
  <c r="N23" i="38" s="1"/>
  <c r="N67" i="38"/>
  <c r="H57" i="38"/>
  <c r="H23" i="38" s="1"/>
  <c r="Q25" i="38"/>
  <c r="Y57" i="24"/>
  <c r="AE57" i="24"/>
  <c r="H57" i="24"/>
  <c r="S57" i="24"/>
  <c r="B12" i="29"/>
  <c r="B13" i="29" s="1"/>
  <c r="B14" i="29" s="1"/>
  <c r="B15" i="29" s="1"/>
  <c r="B16" i="29" s="1"/>
  <c r="B17" i="29" s="1"/>
  <c r="B18" i="29" s="1"/>
  <c r="C12" i="29"/>
  <c r="C13" i="29" s="1"/>
  <c r="C14" i="29" s="1"/>
  <c r="C15" i="29" s="1"/>
  <c r="C16" i="29" s="1"/>
  <c r="C17" i="29" s="1"/>
  <c r="C18" i="29" s="1"/>
  <c r="O21" i="29"/>
  <c r="H44" i="38"/>
  <c r="O12" i="31"/>
  <c r="M101" i="26"/>
  <c r="K14" i="26"/>
  <c r="L14" i="26" s="1"/>
  <c r="S25" i="26"/>
  <c r="C8" i="15" s="1"/>
  <c r="C16" i="15" s="1"/>
  <c r="O26" i="26"/>
  <c r="E45" i="26"/>
  <c r="E73" i="26"/>
  <c r="L45" i="26"/>
  <c r="L73" i="26"/>
  <c r="K76" i="26"/>
  <c r="K78" i="26" s="1"/>
  <c r="K102" i="26" s="1"/>
  <c r="K108" i="26" s="1"/>
  <c r="K74" i="26"/>
  <c r="S24" i="26"/>
  <c r="C7" i="15" s="1"/>
  <c r="C15" i="15" s="1"/>
  <c r="I43" i="26"/>
  <c r="K45" i="26"/>
  <c r="I46" i="26"/>
  <c r="E54" i="26"/>
  <c r="G54" i="26"/>
  <c r="I54" i="26"/>
  <c r="I65" i="26" s="1"/>
  <c r="I66" i="26" s="1"/>
  <c r="K54" i="26"/>
  <c r="F54" i="26"/>
  <c r="H54" i="26"/>
  <c r="H65" i="26" s="1"/>
  <c r="H66" i="26" s="1"/>
  <c r="H67" i="26" s="1"/>
  <c r="J54" i="26"/>
  <c r="J65" i="26" s="1"/>
  <c r="J66" i="26" s="1"/>
  <c r="J67" i="26" s="1"/>
  <c r="L54" i="26"/>
  <c r="G94" i="26"/>
  <c r="I94" i="26"/>
  <c r="K94" i="26"/>
  <c r="E94" i="26"/>
  <c r="F94" i="26"/>
  <c r="H94" i="26"/>
  <c r="J94" i="26"/>
  <c r="L94" i="26"/>
  <c r="X26" i="29"/>
  <c r="Y26" i="29"/>
  <c r="K77" i="26"/>
  <c r="H25" i="26"/>
  <c r="H27" i="26" s="1"/>
  <c r="P51" i="24"/>
  <c r="E33" i="23"/>
  <c r="E49" i="23" s="1"/>
  <c r="E23" i="23"/>
  <c r="H6" i="27"/>
  <c r="G10" i="27"/>
  <c r="G24" i="27"/>
  <c r="G23" i="27" s="1"/>
  <c r="G11" i="27"/>
  <c r="G14" i="27"/>
  <c r="G13" i="27" s="1"/>
  <c r="E51" i="24"/>
  <c r="G26" i="24"/>
  <c r="R26" i="24" s="1"/>
  <c r="P37" i="24"/>
  <c r="V37" i="24" s="1"/>
  <c r="AB37" i="24" s="1"/>
  <c r="G25" i="24"/>
  <c r="E49" i="37"/>
  <c r="E43" i="37"/>
  <c r="P15" i="24"/>
  <c r="R25" i="24" s="1"/>
  <c r="E25" i="23"/>
  <c r="E26" i="23" s="1"/>
  <c r="E19" i="23"/>
  <c r="E20" i="23" s="1"/>
  <c r="E21" i="23" s="1"/>
  <c r="R15" i="31"/>
  <c r="S14" i="31"/>
  <c r="O14" i="31" s="1"/>
  <c r="S15" i="31"/>
  <c r="R11" i="31"/>
  <c r="O11" i="31" s="1"/>
  <c r="G19" i="12"/>
  <c r="R23" i="12"/>
  <c r="S23" i="12" s="1"/>
  <c r="H27" i="35"/>
  <c r="E27" i="35" s="1"/>
  <c r="F50" i="26"/>
  <c r="H50" i="26"/>
  <c r="J50" i="26"/>
  <c r="G115" i="26"/>
  <c r="I115" i="26"/>
  <c r="H15" i="12"/>
  <c r="H16" i="12" s="1"/>
  <c r="S19" i="12"/>
  <c r="I15" i="12"/>
  <c r="I16" i="12" s="1"/>
  <c r="H33" i="26"/>
  <c r="J33" i="26"/>
  <c r="Q23" i="26"/>
  <c r="I33" i="26"/>
  <c r="N95" i="26"/>
  <c r="C15" i="25"/>
  <c r="D22" i="25" s="1"/>
  <c r="E22" i="25" s="1"/>
  <c r="F22" i="25" s="1"/>
  <c r="G22" i="25" s="1"/>
  <c r="H22" i="25" s="1"/>
  <c r="I22" i="25" s="1"/>
  <c r="J22" i="25" s="1"/>
  <c r="K22" i="25" s="1"/>
  <c r="L22" i="25" s="1"/>
  <c r="M22" i="25" s="1"/>
  <c r="N22" i="25" s="1"/>
  <c r="O22" i="25" s="1"/>
  <c r="P22" i="25" s="1"/>
  <c r="Q22" i="25" s="1"/>
  <c r="R22" i="25" s="1"/>
  <c r="S22" i="25" s="1"/>
  <c r="T22" i="25" s="1"/>
  <c r="U22" i="25" s="1"/>
  <c r="V22" i="25" s="1"/>
  <c r="W22" i="25" s="1"/>
  <c r="S86" i="26" s="1"/>
  <c r="F9" i="27"/>
  <c r="F37" i="27" s="1"/>
  <c r="H15" i="35"/>
  <c r="E26" i="24"/>
  <c r="E17" i="26"/>
  <c r="F23" i="27"/>
  <c r="D25" i="25"/>
  <c r="E25" i="25" s="1"/>
  <c r="F25" i="25" s="1"/>
  <c r="G25" i="25" s="1"/>
  <c r="H25" i="25" s="1"/>
  <c r="I25" i="25" s="1"/>
  <c r="J25" i="25" s="1"/>
  <c r="K25" i="25" s="1"/>
  <c r="L25" i="25" s="1"/>
  <c r="M25" i="25" s="1"/>
  <c r="N25" i="25" s="1"/>
  <c r="O25" i="25" s="1"/>
  <c r="P25" i="25" s="1"/>
  <c r="Q25" i="25" s="1"/>
  <c r="R25" i="25" s="1"/>
  <c r="S25" i="25" s="1"/>
  <c r="T25" i="25" s="1"/>
  <c r="U25" i="25" s="1"/>
  <c r="V25" i="25" s="1"/>
  <c r="W25" i="25" s="1"/>
  <c r="E10" i="33"/>
  <c r="E12" i="33"/>
  <c r="E14" i="33"/>
  <c r="E16" i="33"/>
  <c r="E9" i="33"/>
  <c r="E11" i="33"/>
  <c r="E13" i="33"/>
  <c r="E15" i="33"/>
  <c r="I18" i="27"/>
  <c r="G18" i="27"/>
  <c r="J18" i="27"/>
  <c r="H18" i="27"/>
  <c r="F18" i="27"/>
  <c r="R20" i="26"/>
  <c r="C10" i="25"/>
  <c r="D19" i="25"/>
  <c r="E19" i="25" s="1"/>
  <c r="F19" i="25" s="1"/>
  <c r="G19" i="25" s="1"/>
  <c r="H19" i="25" s="1"/>
  <c r="I19" i="25" s="1"/>
  <c r="J19" i="25" s="1"/>
  <c r="K19" i="25" s="1"/>
  <c r="L19" i="25" s="1"/>
  <c r="M19" i="25" s="1"/>
  <c r="N19" i="25" s="1"/>
  <c r="O19" i="25" s="1"/>
  <c r="P19" i="25" s="1"/>
  <c r="Q19" i="25" s="1"/>
  <c r="R19" i="25" s="1"/>
  <c r="S19" i="25" s="1"/>
  <c r="T19" i="25" s="1"/>
  <c r="U19" i="25" s="1"/>
  <c r="V19" i="25" s="1"/>
  <c r="L20" i="27"/>
  <c r="L21" i="27"/>
  <c r="E150" i="26"/>
  <c r="B42" i="16"/>
  <c r="E35" i="18"/>
  <c r="B32" i="15"/>
  <c r="B40" i="16"/>
  <c r="E142" i="26"/>
  <c r="E39" i="18"/>
  <c r="E48" i="17"/>
  <c r="E40" i="15"/>
  <c r="B25" i="22"/>
  <c r="B37" i="18"/>
  <c r="F40" i="26" l="1"/>
  <c r="G13" i="15"/>
  <c r="L24" i="29"/>
  <c r="I22" i="26"/>
  <c r="R9" i="12"/>
  <c r="S9" i="12" s="1"/>
  <c r="J22" i="26" s="1"/>
  <c r="Q13" i="12"/>
  <c r="Q12" i="12"/>
  <c r="I40" i="26" s="1"/>
  <c r="I44" i="26" s="1"/>
  <c r="I45" i="26" s="1"/>
  <c r="N79" i="38"/>
  <c r="K79" i="38"/>
  <c r="M26" i="29"/>
  <c r="K25" i="29"/>
  <c r="L23" i="29"/>
  <c r="O25" i="18"/>
  <c r="E19" i="7"/>
  <c r="H24" i="35"/>
  <c r="E24" i="35" s="1"/>
  <c r="G83" i="26"/>
  <c r="C42" i="20"/>
  <c r="C43" i="20" s="1"/>
  <c r="C44" i="20" s="1"/>
  <c r="C31" i="20"/>
  <c r="C32" i="20" s="1"/>
  <c r="C48" i="20"/>
  <c r="C49" i="20" s="1"/>
  <c r="C50" i="20" s="1"/>
  <c r="C36" i="20"/>
  <c r="C37" i="20" s="1"/>
  <c r="C38" i="20" s="1"/>
  <c r="C22" i="21"/>
  <c r="C23" i="21" s="1"/>
  <c r="C24" i="21" s="1"/>
  <c r="C26" i="21"/>
  <c r="K6" i="7"/>
  <c r="L7" i="7"/>
  <c r="L6" i="7" s="1"/>
  <c r="D18" i="7"/>
  <c r="D19" i="7" s="1"/>
  <c r="N24" i="38"/>
  <c r="H93" i="26"/>
  <c r="H99" i="26" s="1"/>
  <c r="E13" i="16"/>
  <c r="I67" i="26"/>
  <c r="F44" i="26"/>
  <c r="F45" i="26" s="1"/>
  <c r="K25" i="38"/>
  <c r="N25" i="38"/>
  <c r="H25" i="38"/>
  <c r="G76" i="26"/>
  <c r="G77" i="26" s="1"/>
  <c r="H58" i="38"/>
  <c r="H37" i="38" s="1"/>
  <c r="V25" i="29"/>
  <c r="V24" i="29" s="1"/>
  <c r="V23" i="29" s="1"/>
  <c r="V22" i="29" s="1"/>
  <c r="T22" i="29" s="1"/>
  <c r="G45" i="26"/>
  <c r="L65" i="26"/>
  <c r="L66" i="26" s="1"/>
  <c r="L67" i="26" s="1"/>
  <c r="L55" i="26"/>
  <c r="L56" i="26" s="1"/>
  <c r="L58" i="26" s="1"/>
  <c r="L60" i="26" s="1"/>
  <c r="L61" i="26" s="1"/>
  <c r="E55" i="26"/>
  <c r="E56" i="26" s="1"/>
  <c r="E58" i="26" s="1"/>
  <c r="E60" i="26" s="1"/>
  <c r="E61" i="26" s="1"/>
  <c r="E65" i="26"/>
  <c r="E66" i="26" s="1"/>
  <c r="E67" i="26" s="1"/>
  <c r="L74" i="26"/>
  <c r="L76" i="26"/>
  <c r="E74" i="26"/>
  <c r="E76" i="26"/>
  <c r="O27" i="26"/>
  <c r="S27" i="26" s="1"/>
  <c r="C10" i="15" s="1"/>
  <c r="C18" i="15" s="1"/>
  <c r="S26" i="26"/>
  <c r="C9" i="15" s="1"/>
  <c r="C17" i="15" s="1"/>
  <c r="F65" i="26"/>
  <c r="F66" i="26" s="1"/>
  <c r="F67" i="26" s="1"/>
  <c r="F55" i="26"/>
  <c r="F56" i="26" s="1"/>
  <c r="F58" i="26" s="1"/>
  <c r="F60" i="26" s="1"/>
  <c r="K65" i="26"/>
  <c r="K66" i="26" s="1"/>
  <c r="K67" i="26" s="1"/>
  <c r="K55" i="26"/>
  <c r="K56" i="26" s="1"/>
  <c r="K58" i="26" s="1"/>
  <c r="K60" i="26" s="1"/>
  <c r="K61" i="26" s="1"/>
  <c r="G55" i="26"/>
  <c r="G56" i="26" s="1"/>
  <c r="G58" i="26" s="1"/>
  <c r="G60" i="26" s="1"/>
  <c r="G65" i="26"/>
  <c r="G66" i="26" s="1"/>
  <c r="G67" i="26" s="1"/>
  <c r="K101" i="26"/>
  <c r="I101" i="26"/>
  <c r="G101" i="26"/>
  <c r="E101" i="26"/>
  <c r="L101" i="26"/>
  <c r="J101" i="26"/>
  <c r="H101" i="26"/>
  <c r="F101" i="26"/>
  <c r="I36" i="26"/>
  <c r="I55" i="26" s="1"/>
  <c r="I56" i="26" s="1"/>
  <c r="I58" i="26" s="1"/>
  <c r="I60" i="26" s="1"/>
  <c r="I61" i="26" s="1"/>
  <c r="J36" i="26"/>
  <c r="J55" i="26" s="1"/>
  <c r="J56" i="26" s="1"/>
  <c r="J58" i="26" s="1"/>
  <c r="J60" i="26" s="1"/>
  <c r="J61" i="26" s="1"/>
  <c r="H36" i="26"/>
  <c r="H55" i="26" s="1"/>
  <c r="H56" i="26" s="1"/>
  <c r="H58" i="26" s="1"/>
  <c r="H60" i="26" s="1"/>
  <c r="H61" i="26" s="1"/>
  <c r="E50" i="23"/>
  <c r="E95" i="26"/>
  <c r="E85" i="26" s="1"/>
  <c r="G95" i="26"/>
  <c r="G85" i="26" s="1"/>
  <c r="I95" i="26"/>
  <c r="I85" i="26" s="1"/>
  <c r="K95" i="26"/>
  <c r="K85" i="26" s="1"/>
  <c r="F95" i="26"/>
  <c r="F85" i="26" s="1"/>
  <c r="H95" i="26"/>
  <c r="H85" i="26" s="1"/>
  <c r="J95" i="26"/>
  <c r="J85" i="26" s="1"/>
  <c r="L95" i="26"/>
  <c r="L85" i="26" s="1"/>
  <c r="Q24" i="26"/>
  <c r="E39" i="23"/>
  <c r="E19" i="24" s="1"/>
  <c r="E20" i="24"/>
  <c r="P20" i="24" s="1"/>
  <c r="G9" i="27"/>
  <c r="G37" i="27" s="1"/>
  <c r="G32" i="24"/>
  <c r="H24" i="27"/>
  <c r="H10" i="27"/>
  <c r="I6" i="27"/>
  <c r="H27" i="27"/>
  <c r="H14" i="27"/>
  <c r="H11" i="27"/>
  <c r="H5" i="27"/>
  <c r="P26" i="24"/>
  <c r="R32" i="24" s="1"/>
  <c r="P32" i="24" s="1"/>
  <c r="E45" i="37"/>
  <c r="E22" i="23"/>
  <c r="E40" i="23" s="1"/>
  <c r="E58" i="23" s="1"/>
  <c r="E36" i="23"/>
  <c r="E37" i="23" s="1"/>
  <c r="R24" i="29"/>
  <c r="J83" i="26"/>
  <c r="F61" i="26"/>
  <c r="G5" i="15"/>
  <c r="O15" i="31"/>
  <c r="P23" i="26"/>
  <c r="I83" i="26"/>
  <c r="F17" i="27"/>
  <c r="R23" i="26" s="1"/>
  <c r="F83" i="26"/>
  <c r="K83" i="26"/>
  <c r="S87" i="26"/>
  <c r="H83" i="26"/>
  <c r="L83" i="26"/>
  <c r="E83" i="26"/>
  <c r="E15" i="35"/>
  <c r="E17" i="35" s="1"/>
  <c r="G61" i="26"/>
  <c r="P86" i="26"/>
  <c r="S89" i="26"/>
  <c r="I20" i="27"/>
  <c r="G20" i="27"/>
  <c r="J20" i="27"/>
  <c r="H20" i="27"/>
  <c r="F20" i="27"/>
  <c r="I21" i="27"/>
  <c r="G21" i="27"/>
  <c r="J21" i="27"/>
  <c r="H21" i="27"/>
  <c r="F21" i="27"/>
  <c r="L16" i="26"/>
  <c r="J16" i="26"/>
  <c r="H16" i="26"/>
  <c r="F16" i="26"/>
  <c r="I16" i="26"/>
  <c r="E16" i="26"/>
  <c r="K16" i="26"/>
  <c r="G16" i="26"/>
  <c r="K26" i="29" l="1"/>
  <c r="M27" i="29"/>
  <c r="C28" i="21"/>
  <c r="C27" i="21"/>
  <c r="B33" i="20"/>
  <c r="C33" i="20"/>
  <c r="C45" i="20"/>
  <c r="B45" i="20"/>
  <c r="O26" i="18"/>
  <c r="E20" i="7"/>
  <c r="Q25" i="29"/>
  <c r="R25" i="29" s="1"/>
  <c r="L25" i="29"/>
  <c r="C39" i="20"/>
  <c r="B39" i="20"/>
  <c r="C51" i="20"/>
  <c r="B51" i="20"/>
  <c r="F73" i="26"/>
  <c r="F76" i="26" s="1"/>
  <c r="H13" i="16"/>
  <c r="I93" i="26"/>
  <c r="I99" i="26" s="1"/>
  <c r="O13" i="22" s="1"/>
  <c r="G78" i="26"/>
  <c r="G102" i="26" s="1"/>
  <c r="L102" i="26" s="1"/>
  <c r="T23" i="29"/>
  <c r="U22" i="29"/>
  <c r="H69" i="38"/>
  <c r="K93" i="26"/>
  <c r="K81" i="26" s="1"/>
  <c r="K68" i="26"/>
  <c r="K69" i="26" s="1"/>
  <c r="F68" i="26"/>
  <c r="D13" i="16"/>
  <c r="D17" i="16" s="1"/>
  <c r="E77" i="26"/>
  <c r="E78" i="26"/>
  <c r="E102" i="26" s="1"/>
  <c r="E108" i="26" s="1"/>
  <c r="L77" i="26"/>
  <c r="L78" i="26"/>
  <c r="L93" i="26"/>
  <c r="L68" i="26"/>
  <c r="L69" i="26" s="1"/>
  <c r="G68" i="26"/>
  <c r="G13" i="16"/>
  <c r="G17" i="16" s="1"/>
  <c r="E93" i="26"/>
  <c r="E68" i="26"/>
  <c r="C13" i="16"/>
  <c r="C17" i="16" s="1"/>
  <c r="X27" i="29"/>
  <c r="Y27" i="29"/>
  <c r="E21" i="37"/>
  <c r="K8" i="22" s="1"/>
  <c r="E60" i="23"/>
  <c r="P24" i="26"/>
  <c r="H11" i="35"/>
  <c r="E11" i="35" s="1"/>
  <c r="G17" i="27"/>
  <c r="E32" i="23"/>
  <c r="E41" i="23"/>
  <c r="H9" i="27"/>
  <c r="H13" i="27"/>
  <c r="Q25" i="26"/>
  <c r="I27" i="27"/>
  <c r="I14" i="27"/>
  <c r="I11" i="27"/>
  <c r="I5" i="27"/>
  <c r="I24" i="27"/>
  <c r="I10" i="27"/>
  <c r="J6" i="27"/>
  <c r="H23" i="27"/>
  <c r="E60" i="37"/>
  <c r="E12" i="37" s="1"/>
  <c r="E44" i="23"/>
  <c r="E17" i="24"/>
  <c r="G30" i="24" s="1"/>
  <c r="E30" i="24" s="1"/>
  <c r="E35" i="24" s="1"/>
  <c r="E18" i="24"/>
  <c r="P18" i="24" s="1"/>
  <c r="F74" i="26"/>
  <c r="E43" i="23"/>
  <c r="H10" i="35"/>
  <c r="E10" i="35" s="1"/>
  <c r="E19" i="37"/>
  <c r="E22" i="37" s="1"/>
  <c r="P8" i="22" s="1"/>
  <c r="G38" i="35"/>
  <c r="Q38" i="35"/>
  <c r="O38" i="35"/>
  <c r="M38" i="35"/>
  <c r="I38" i="35"/>
  <c r="P38" i="35"/>
  <c r="N38" i="35"/>
  <c r="L38" i="35"/>
  <c r="J38" i="35"/>
  <c r="H38" i="35"/>
  <c r="K38" i="35"/>
  <c r="M84" i="26"/>
  <c r="M82" i="26"/>
  <c r="M86" i="26"/>
  <c r="M80" i="26"/>
  <c r="E56" i="23"/>
  <c r="E61" i="23"/>
  <c r="E20" i="37"/>
  <c r="M8" i="22" s="1"/>
  <c r="E59" i="23"/>
  <c r="H61" i="27"/>
  <c r="H22" i="27"/>
  <c r="G61" i="27"/>
  <c r="G22" i="27"/>
  <c r="P19" i="24"/>
  <c r="H59" i="27"/>
  <c r="H58" i="27"/>
  <c r="H57" i="27"/>
  <c r="H56" i="27"/>
  <c r="H55" i="27"/>
  <c r="H54" i="27"/>
  <c r="H53" i="27"/>
  <c r="H52" i="27"/>
  <c r="H51" i="27"/>
  <c r="H50" i="27"/>
  <c r="H49" i="27"/>
  <c r="H48" i="27"/>
  <c r="H47" i="27"/>
  <c r="H46" i="27"/>
  <c r="H45" i="27"/>
  <c r="H44" i="27"/>
  <c r="H43" i="27"/>
  <c r="H42" i="27"/>
  <c r="H41" i="27"/>
  <c r="H40" i="27"/>
  <c r="G59" i="27"/>
  <c r="J61" i="27" s="1"/>
  <c r="G58" i="27"/>
  <c r="G57" i="27"/>
  <c r="G56" i="27"/>
  <c r="G55" i="27"/>
  <c r="G54" i="27"/>
  <c r="G53" i="27"/>
  <c r="G52" i="27"/>
  <c r="G51" i="27"/>
  <c r="G50" i="27"/>
  <c r="G49" i="27"/>
  <c r="G48" i="27"/>
  <c r="G47" i="27"/>
  <c r="G46" i="27"/>
  <c r="G45" i="27"/>
  <c r="G44" i="27"/>
  <c r="G43" i="27"/>
  <c r="G42" i="27"/>
  <c r="G41" i="27"/>
  <c r="G40" i="27"/>
  <c r="F77" i="26"/>
  <c r="F78" i="26"/>
  <c r="F102" i="26" s="1"/>
  <c r="F61" i="27"/>
  <c r="F22" i="27"/>
  <c r="J22" i="27"/>
  <c r="P81" i="26"/>
  <c r="I22" i="27"/>
  <c r="E42" i="23"/>
  <c r="F59" i="27"/>
  <c r="I61" i="27" s="1"/>
  <c r="F58" i="27"/>
  <c r="F57" i="27"/>
  <c r="F56" i="27"/>
  <c r="F55" i="27"/>
  <c r="F54" i="27"/>
  <c r="F53" i="27"/>
  <c r="F52" i="27"/>
  <c r="F51" i="27"/>
  <c r="F50" i="27"/>
  <c r="F49" i="27"/>
  <c r="F48" i="27"/>
  <c r="F47" i="27"/>
  <c r="F46" i="27"/>
  <c r="F45" i="27"/>
  <c r="F44" i="27"/>
  <c r="F43" i="27"/>
  <c r="F42" i="27"/>
  <c r="F41" i="27"/>
  <c r="F40" i="27"/>
  <c r="J59" i="27"/>
  <c r="J58" i="27"/>
  <c r="J57" i="27"/>
  <c r="J56" i="27"/>
  <c r="J55" i="27"/>
  <c r="J54" i="27"/>
  <c r="J53" i="27"/>
  <c r="J52" i="27"/>
  <c r="J51" i="27"/>
  <c r="J50" i="27"/>
  <c r="J49" i="27"/>
  <c r="J48" i="27"/>
  <c r="J47" i="27"/>
  <c r="J46" i="27"/>
  <c r="J45" i="27"/>
  <c r="J44" i="27"/>
  <c r="J43" i="27"/>
  <c r="J42" i="27"/>
  <c r="J41" i="27"/>
  <c r="J40" i="27"/>
  <c r="P80" i="26"/>
  <c r="I59" i="27"/>
  <c r="I58" i="27"/>
  <c r="I57" i="27"/>
  <c r="I56" i="27"/>
  <c r="I55" i="27"/>
  <c r="I54" i="27"/>
  <c r="I53" i="27"/>
  <c r="I52" i="27"/>
  <c r="I51" i="27"/>
  <c r="I50" i="27"/>
  <c r="I49" i="27"/>
  <c r="I48" i="27"/>
  <c r="I47" i="27"/>
  <c r="I46" i="27"/>
  <c r="I45" i="27"/>
  <c r="I44" i="27"/>
  <c r="I43" i="27"/>
  <c r="I42" i="27"/>
  <c r="I41" i="27"/>
  <c r="I40" i="27"/>
  <c r="E21" i="7" l="1"/>
  <c r="O27" i="18"/>
  <c r="M28" i="29"/>
  <c r="K27" i="29"/>
  <c r="Q26" i="29"/>
  <c r="R26" i="29" s="1"/>
  <c r="L26" i="29"/>
  <c r="I23" i="27"/>
  <c r="I82" i="27" s="1"/>
  <c r="O12" i="22"/>
  <c r="O11" i="22" s="1"/>
  <c r="D20" i="7"/>
  <c r="D21" i="7" s="1"/>
  <c r="O14" i="22"/>
  <c r="H70" i="38"/>
  <c r="T24" i="29"/>
  <c r="U23" i="29"/>
  <c r="O22" i="29"/>
  <c r="P22" i="29" s="1"/>
  <c r="O27" i="29"/>
  <c r="P27" i="29" s="1"/>
  <c r="N58" i="38"/>
  <c r="E46" i="23"/>
  <c r="H72" i="38"/>
  <c r="E45" i="23"/>
  <c r="H71" i="38"/>
  <c r="E69" i="26"/>
  <c r="C14" i="16"/>
  <c r="E81" i="26"/>
  <c r="G69" i="26"/>
  <c r="G14" i="16"/>
  <c r="F69" i="26"/>
  <c r="D14" i="16"/>
  <c r="X28" i="29"/>
  <c r="Y28" i="29"/>
  <c r="H30" i="37"/>
  <c r="E30" i="37" s="1"/>
  <c r="E32" i="37" s="1"/>
  <c r="B17" i="22"/>
  <c r="E62" i="37"/>
  <c r="F8" i="22"/>
  <c r="L108" i="26"/>
  <c r="L81" i="26" s="1"/>
  <c r="R24" i="26"/>
  <c r="I9" i="27"/>
  <c r="I37" i="27" s="1"/>
  <c r="Q26" i="26"/>
  <c r="I13" i="27"/>
  <c r="J24" i="27"/>
  <c r="J10" i="27"/>
  <c r="J27" i="27"/>
  <c r="J14" i="27"/>
  <c r="J11" i="27"/>
  <c r="J5" i="27"/>
  <c r="H37" i="27"/>
  <c r="H17" i="27"/>
  <c r="P25" i="26"/>
  <c r="E17" i="37"/>
  <c r="P17" i="24"/>
  <c r="R30" i="24" s="1"/>
  <c r="P30" i="24" s="1"/>
  <c r="P35" i="24" s="1"/>
  <c r="P36" i="24" s="1"/>
  <c r="E61" i="37"/>
  <c r="H15" i="24"/>
  <c r="J18" i="24" s="1"/>
  <c r="H26" i="35" s="1"/>
  <c r="E26" i="35" s="1"/>
  <c r="E68" i="37"/>
  <c r="J8" i="22" s="1"/>
  <c r="M9" i="22" s="1"/>
  <c r="H19" i="24"/>
  <c r="H18" i="24"/>
  <c r="H25" i="35" s="1"/>
  <c r="E25" i="35" s="1"/>
  <c r="I39" i="27"/>
  <c r="J39" i="27"/>
  <c r="F39" i="27"/>
  <c r="F38" i="27" s="1"/>
  <c r="F36" i="27" s="1"/>
  <c r="P82" i="26"/>
  <c r="L84" i="27"/>
  <c r="L82" i="27"/>
  <c r="L80" i="27"/>
  <c r="L78" i="27"/>
  <c r="L76" i="27"/>
  <c r="L74" i="27"/>
  <c r="L72" i="27"/>
  <c r="L83" i="27"/>
  <c r="L81" i="27"/>
  <c r="L79" i="27"/>
  <c r="L77" i="27"/>
  <c r="L75" i="27"/>
  <c r="L73" i="27"/>
  <c r="L71" i="27"/>
  <c r="L69" i="27"/>
  <c r="L67" i="27"/>
  <c r="L65" i="27"/>
  <c r="L70" i="27"/>
  <c r="L68" i="27"/>
  <c r="L66" i="27"/>
  <c r="F82" i="27"/>
  <c r="F66" i="27"/>
  <c r="F81" i="27"/>
  <c r="F77" i="27"/>
  <c r="F73" i="27"/>
  <c r="F84" i="27"/>
  <c r="F80" i="27"/>
  <c r="F76" i="27"/>
  <c r="F72" i="27"/>
  <c r="F68" i="27"/>
  <c r="F69" i="27"/>
  <c r="F65" i="27"/>
  <c r="F83" i="27"/>
  <c r="F79" i="27"/>
  <c r="F75" i="27"/>
  <c r="F71" i="27"/>
  <c r="F78" i="27"/>
  <c r="F74" i="27"/>
  <c r="F70" i="27"/>
  <c r="F67" i="27"/>
  <c r="E44" i="24"/>
  <c r="E36" i="24"/>
  <c r="G39" i="27"/>
  <c r="G38" i="27" s="1"/>
  <c r="G36" i="27" s="1"/>
  <c r="H39" i="27"/>
  <c r="S18" i="24"/>
  <c r="K82" i="26"/>
  <c r="E82" i="26"/>
  <c r="L82" i="26"/>
  <c r="H82" i="26"/>
  <c r="I82" i="26"/>
  <c r="G82" i="27"/>
  <c r="G78" i="27"/>
  <c r="G74" i="27"/>
  <c r="G83" i="27"/>
  <c r="G79" i="27"/>
  <c r="G75" i="27"/>
  <c r="G69" i="27"/>
  <c r="G65" i="27"/>
  <c r="G70" i="27"/>
  <c r="G66" i="27"/>
  <c r="G84" i="27"/>
  <c r="G80" i="27"/>
  <c r="G76" i="27"/>
  <c r="G72" i="27"/>
  <c r="G81" i="27"/>
  <c r="G77" i="27"/>
  <c r="G73" i="27"/>
  <c r="G67" i="27"/>
  <c r="G71" i="27"/>
  <c r="G68" i="27"/>
  <c r="H79" i="27"/>
  <c r="H71" i="27"/>
  <c r="H78" i="27"/>
  <c r="H70" i="27"/>
  <c r="H67" i="27"/>
  <c r="H81" i="27"/>
  <c r="H77" i="27"/>
  <c r="H73" i="27"/>
  <c r="H84" i="27"/>
  <c r="H80" i="27"/>
  <c r="H76" i="27"/>
  <c r="H72" i="27"/>
  <c r="H68" i="27"/>
  <c r="H69" i="27"/>
  <c r="H65" i="27"/>
  <c r="H83" i="27"/>
  <c r="H75" i="27"/>
  <c r="H82" i="27"/>
  <c r="H74" i="27"/>
  <c r="H66" i="27"/>
  <c r="E39" i="24"/>
  <c r="I86" i="26"/>
  <c r="E86" i="26"/>
  <c r="F86" i="26"/>
  <c r="J86" i="26"/>
  <c r="H86" i="26"/>
  <c r="L86" i="26"/>
  <c r="K86" i="26"/>
  <c r="G86" i="26"/>
  <c r="K84" i="26"/>
  <c r="I84" i="26"/>
  <c r="G84" i="26"/>
  <c r="E84" i="26"/>
  <c r="J84" i="26"/>
  <c r="F84" i="26"/>
  <c r="L84" i="26"/>
  <c r="H84" i="26"/>
  <c r="I81" i="27" l="1"/>
  <c r="I72" i="27"/>
  <c r="I76" i="27"/>
  <c r="I71" i="27"/>
  <c r="I67" i="27"/>
  <c r="I75" i="27"/>
  <c r="I79" i="27"/>
  <c r="I77" i="27"/>
  <c r="I68" i="27"/>
  <c r="I80" i="27"/>
  <c r="I83" i="27"/>
  <c r="I65" i="27"/>
  <c r="I84" i="27"/>
  <c r="I74" i="27"/>
  <c r="I69" i="27"/>
  <c r="I66" i="27"/>
  <c r="I78" i="27"/>
  <c r="L27" i="29"/>
  <c r="Q27" i="29"/>
  <c r="R27" i="29" s="1"/>
  <c r="I73" i="27"/>
  <c r="I70" i="27"/>
  <c r="K28" i="29"/>
  <c r="M29" i="29"/>
  <c r="D22" i="7"/>
  <c r="O28" i="18"/>
  <c r="E22" i="7"/>
  <c r="T25" i="29"/>
  <c r="U24" i="29"/>
  <c r="N69" i="38"/>
  <c r="N37" i="38"/>
  <c r="O28" i="29"/>
  <c r="P28" i="29" s="1"/>
  <c r="O23" i="29"/>
  <c r="P23" i="29" s="1"/>
  <c r="Y47" i="24"/>
  <c r="H78" i="38"/>
  <c r="K78" i="38" s="1"/>
  <c r="V36" i="24"/>
  <c r="X29" i="29"/>
  <c r="I25" i="26"/>
  <c r="G9" i="22"/>
  <c r="E31" i="37"/>
  <c r="P9" i="22"/>
  <c r="I9" i="22"/>
  <c r="E33" i="37"/>
  <c r="F9" i="22"/>
  <c r="B9" i="22" s="1"/>
  <c r="P39" i="24"/>
  <c r="K9" i="22"/>
  <c r="H9" i="22"/>
  <c r="P44" i="24"/>
  <c r="H38" i="27"/>
  <c r="H36" i="27" s="1"/>
  <c r="P26" i="26"/>
  <c r="J9" i="27"/>
  <c r="P27" i="26" s="1"/>
  <c r="F15" i="26" s="1"/>
  <c r="I17" i="27"/>
  <c r="V33" i="26"/>
  <c r="D62" i="26" s="1"/>
  <c r="J23" i="27"/>
  <c r="R25" i="26"/>
  <c r="J13" i="27"/>
  <c r="Q27" i="26"/>
  <c r="E42" i="24"/>
  <c r="E67" i="37"/>
  <c r="E64" i="37"/>
  <c r="E63" i="37"/>
  <c r="E8" i="22" s="1"/>
  <c r="G48" i="23"/>
  <c r="G64" i="27"/>
  <c r="G63" i="27"/>
  <c r="G31" i="27" s="1"/>
  <c r="P38" i="24"/>
  <c r="J31" i="26" s="1"/>
  <c r="K10" i="22"/>
  <c r="K125" i="26"/>
  <c r="L125" i="26"/>
  <c r="E38" i="24"/>
  <c r="K11" i="22"/>
  <c r="F64" i="27"/>
  <c r="F63" i="27" s="1"/>
  <c r="F31" i="27" s="1"/>
  <c r="E41" i="24"/>
  <c r="E45" i="24" s="1"/>
  <c r="E40" i="24"/>
  <c r="H52" i="24"/>
  <c r="E52" i="24" s="1"/>
  <c r="J11" i="22"/>
  <c r="H64" i="27"/>
  <c r="H63" i="27"/>
  <c r="S70" i="26"/>
  <c r="E125" i="26"/>
  <c r="L64" i="27"/>
  <c r="I64" i="27" l="1"/>
  <c r="M30" i="29"/>
  <c r="M31" i="29" s="1"/>
  <c r="K29" i="29"/>
  <c r="L28" i="29"/>
  <c r="Q28" i="29"/>
  <c r="R28" i="29" s="1"/>
  <c r="O29" i="18"/>
  <c r="E23" i="7"/>
  <c r="I63" i="27"/>
  <c r="P43" i="24"/>
  <c r="P49" i="24" s="1"/>
  <c r="AB36" i="24"/>
  <c r="AB39" i="24" s="1"/>
  <c r="AB43" i="24" s="1"/>
  <c r="AB49" i="24" s="1"/>
  <c r="T26" i="29"/>
  <c r="U25" i="29"/>
  <c r="S52" i="24"/>
  <c r="P52" i="24" s="1"/>
  <c r="F25" i="26"/>
  <c r="O25" i="29"/>
  <c r="O24" i="29"/>
  <c r="P24" i="29" s="1"/>
  <c r="G25" i="26"/>
  <c r="O29" i="29"/>
  <c r="P29" i="29" s="1"/>
  <c r="K80" i="38"/>
  <c r="K17" i="38" s="1"/>
  <c r="V39" i="24"/>
  <c r="V41" i="24" s="1"/>
  <c r="N78" i="38"/>
  <c r="Y29" i="29"/>
  <c r="P42" i="24"/>
  <c r="H80" i="38"/>
  <c r="H17" i="38" s="1"/>
  <c r="X30" i="29"/>
  <c r="Y30" i="29"/>
  <c r="G32" i="27"/>
  <c r="I13" i="7" s="1"/>
  <c r="I14" i="7" s="1"/>
  <c r="I15" i="7" s="1"/>
  <c r="I16" i="7" s="1"/>
  <c r="I17" i="7" s="1"/>
  <c r="I18" i="7" s="1"/>
  <c r="I19" i="7" s="1"/>
  <c r="I20" i="7" s="1"/>
  <c r="I21" i="7" s="1"/>
  <c r="I22" i="7" s="1"/>
  <c r="I23" i="7" s="1"/>
  <c r="I24" i="7" s="1"/>
  <c r="F32" i="27"/>
  <c r="H13" i="7" s="1"/>
  <c r="H14" i="7" s="1"/>
  <c r="H15" i="7" s="1"/>
  <c r="H16" i="7" s="1"/>
  <c r="H17" i="7" s="1"/>
  <c r="H18" i="7" s="1"/>
  <c r="H19" i="7" s="1"/>
  <c r="H20" i="7" s="1"/>
  <c r="H21" i="7" s="1"/>
  <c r="H22" i="7" s="1"/>
  <c r="H23" i="7" s="1"/>
  <c r="H24" i="7" s="1"/>
  <c r="P40" i="24"/>
  <c r="J10" i="22"/>
  <c r="H10" i="22" s="1"/>
  <c r="H11" i="22" s="1"/>
  <c r="P41" i="24"/>
  <c r="H31" i="27"/>
  <c r="E9" i="22"/>
  <c r="J37" i="27"/>
  <c r="H31" i="26"/>
  <c r="J17" i="27"/>
  <c r="R27" i="26" s="1"/>
  <c r="R26" i="26"/>
  <c r="I38" i="27"/>
  <c r="I36" i="27" s="1"/>
  <c r="G15" i="26"/>
  <c r="E15" i="26"/>
  <c r="P77" i="26"/>
  <c r="V30" i="26"/>
  <c r="J79" i="27"/>
  <c r="J78" i="27"/>
  <c r="J67" i="27"/>
  <c r="J77" i="27"/>
  <c r="J84" i="27"/>
  <c r="J76" i="27"/>
  <c r="J68" i="27"/>
  <c r="J65" i="27"/>
  <c r="J75" i="27"/>
  <c r="J74" i="27"/>
  <c r="J71" i="27"/>
  <c r="J70" i="27"/>
  <c r="J81" i="27"/>
  <c r="J73" i="27"/>
  <c r="J80" i="27"/>
  <c r="J72" i="27"/>
  <c r="J69" i="27"/>
  <c r="J83" i="27"/>
  <c r="J82" i="27"/>
  <c r="J66" i="27"/>
  <c r="G119" i="26"/>
  <c r="K119" i="26"/>
  <c r="K70" i="26"/>
  <c r="K72" i="26" s="1"/>
  <c r="H70" i="26"/>
  <c r="F70" i="26"/>
  <c r="F72" i="26" s="1"/>
  <c r="J70" i="26"/>
  <c r="F119" i="26"/>
  <c r="I70" i="26"/>
  <c r="E70" i="26"/>
  <c r="E72" i="26" s="1"/>
  <c r="L70" i="26"/>
  <c r="L72" i="26" s="1"/>
  <c r="L119" i="26"/>
  <c r="G70" i="26"/>
  <c r="G72" i="26" s="1"/>
  <c r="E119" i="26"/>
  <c r="K62" i="26"/>
  <c r="K63" i="26" s="1"/>
  <c r="J119" i="26"/>
  <c r="I119" i="26"/>
  <c r="H119" i="26"/>
  <c r="J62" i="26"/>
  <c r="J63" i="26" s="1"/>
  <c r="I62" i="26"/>
  <c r="I63" i="26" s="1"/>
  <c r="E62" i="26"/>
  <c r="E63" i="26" s="1"/>
  <c r="H62" i="26"/>
  <c r="H63" i="26" s="1"/>
  <c r="G62" i="26"/>
  <c r="G63" i="26" s="1"/>
  <c r="L62" i="26"/>
  <c r="L63" i="26" s="1"/>
  <c r="F62" i="26"/>
  <c r="F63" i="26" s="1"/>
  <c r="E76" i="37"/>
  <c r="E43" i="24" s="1"/>
  <c r="E49" i="24" s="1"/>
  <c r="I27" i="26"/>
  <c r="I26" i="26"/>
  <c r="K47" i="24"/>
  <c r="H9" i="35" s="1"/>
  <c r="E48" i="23"/>
  <c r="I31" i="26"/>
  <c r="I30" i="26"/>
  <c r="I31" i="27" l="1"/>
  <c r="I32" i="27" s="1"/>
  <c r="K13" i="7" s="1"/>
  <c r="K14" i="7" s="1"/>
  <c r="K15" i="7" s="1"/>
  <c r="K16" i="7" s="1"/>
  <c r="K17" i="7" s="1"/>
  <c r="K18" i="7" s="1"/>
  <c r="K19" i="7" s="1"/>
  <c r="K20" i="7" s="1"/>
  <c r="K21" i="7" s="1"/>
  <c r="K22" i="7" s="1"/>
  <c r="K23" i="7" s="1"/>
  <c r="K24" i="7" s="1"/>
  <c r="O30" i="18"/>
  <c r="E24" i="7"/>
  <c r="L29" i="29"/>
  <c r="K30" i="29"/>
  <c r="Q29" i="29"/>
  <c r="R29" i="29" s="1"/>
  <c r="D23" i="7"/>
  <c r="D24" i="7" s="1"/>
  <c r="AB41" i="24"/>
  <c r="N81" i="38"/>
  <c r="N93" i="38" s="1"/>
  <c r="V43" i="24"/>
  <c r="V49" i="24" s="1"/>
  <c r="N35" i="38"/>
  <c r="N90" i="38" s="1"/>
  <c r="K19" i="38"/>
  <c r="K91" i="38" s="1"/>
  <c r="P45" i="24"/>
  <c r="H81" i="38"/>
  <c r="H93" i="38" s="1"/>
  <c r="T27" i="29"/>
  <c r="U26" i="29"/>
  <c r="O30" i="29"/>
  <c r="P30" i="29" s="1"/>
  <c r="O31" i="29"/>
  <c r="G28" i="26"/>
  <c r="G27" i="26"/>
  <c r="P25" i="29"/>
  <c r="P26" i="29"/>
  <c r="N68" i="38"/>
  <c r="F27" i="26"/>
  <c r="F28" i="26"/>
  <c r="K20" i="38"/>
  <c r="K92" i="38" s="1"/>
  <c r="V47" i="24"/>
  <c r="N80" i="38"/>
  <c r="N17" i="38" s="1"/>
  <c r="H30" i="26"/>
  <c r="H68" i="26" s="1"/>
  <c r="I68" i="26"/>
  <c r="E53" i="23"/>
  <c r="E54" i="23" s="1"/>
  <c r="X31" i="29"/>
  <c r="Y31" i="29"/>
  <c r="J25" i="26"/>
  <c r="J27" i="26" s="1"/>
  <c r="H32" i="27"/>
  <c r="J13" i="7" s="1"/>
  <c r="J14" i="7" s="1"/>
  <c r="J15" i="7" s="1"/>
  <c r="J16" i="7" s="1"/>
  <c r="J17" i="7" s="1"/>
  <c r="J18" i="7" s="1"/>
  <c r="J19" i="7" s="1"/>
  <c r="J20" i="7" s="1"/>
  <c r="J21" i="7" s="1"/>
  <c r="J22" i="7" s="1"/>
  <c r="J23" i="7" s="1"/>
  <c r="J24" i="7" s="1"/>
  <c r="I120" i="26"/>
  <c r="I121" i="26" s="1"/>
  <c r="H120" i="26"/>
  <c r="H121" i="26" s="1"/>
  <c r="J120" i="26"/>
  <c r="J121" i="26" s="1"/>
  <c r="L120" i="26"/>
  <c r="L121" i="26" s="1"/>
  <c r="F120" i="26"/>
  <c r="F121" i="26" s="1"/>
  <c r="G120" i="26"/>
  <c r="G121" i="26" s="1"/>
  <c r="K120" i="26"/>
  <c r="K121" i="26" s="1"/>
  <c r="E120" i="26"/>
  <c r="E121" i="26" s="1"/>
  <c r="P10" i="22"/>
  <c r="P11" i="22" s="1"/>
  <c r="M10" i="22"/>
  <c r="M11" i="22" s="1"/>
  <c r="F10" i="22"/>
  <c r="F11" i="22" s="1"/>
  <c r="K12" i="22" s="1"/>
  <c r="G10" i="22"/>
  <c r="G11" i="22" s="1"/>
  <c r="I10" i="22"/>
  <c r="I11" i="22" s="1"/>
  <c r="E10" i="22"/>
  <c r="E11" i="22" s="1"/>
  <c r="I72" i="26"/>
  <c r="I73" i="26"/>
  <c r="J72" i="26"/>
  <c r="J73" i="26"/>
  <c r="H72" i="26"/>
  <c r="H73" i="26"/>
  <c r="E9" i="35"/>
  <c r="H23" i="35"/>
  <c r="J38" i="27"/>
  <c r="J36" i="27" s="1"/>
  <c r="J63" i="27"/>
  <c r="J64" i="27"/>
  <c r="P78" i="26"/>
  <c r="C12" i="25"/>
  <c r="D23" i="25" s="1"/>
  <c r="E23" i="25" s="1"/>
  <c r="F23" i="25" s="1"/>
  <c r="G23" i="25" s="1"/>
  <c r="H23" i="25" s="1"/>
  <c r="I23" i="25" s="1"/>
  <c r="J23" i="25" s="1"/>
  <c r="K23" i="25" s="1"/>
  <c r="L23" i="25" s="1"/>
  <c r="M23" i="25" s="1"/>
  <c r="N23" i="25" s="1"/>
  <c r="O23" i="25" s="1"/>
  <c r="P23" i="25" s="1"/>
  <c r="Q23" i="25" s="1"/>
  <c r="R23" i="25" s="1"/>
  <c r="S23" i="25" s="1"/>
  <c r="T23" i="25" s="1"/>
  <c r="U23" i="25" s="1"/>
  <c r="V23" i="25" s="1"/>
  <c r="W23" i="25" s="1"/>
  <c r="H15" i="26"/>
  <c r="A70" i="37"/>
  <c r="E77" i="37"/>
  <c r="H83" i="37" s="1"/>
  <c r="H26" i="26"/>
  <c r="J26" i="26"/>
  <c r="J30" i="26"/>
  <c r="J68" i="26" s="1"/>
  <c r="H15" i="16"/>
  <c r="I32" i="26"/>
  <c r="H16" i="16" s="1"/>
  <c r="H17" i="16" s="1"/>
  <c r="K31" i="29" l="1"/>
  <c r="Q31" i="29" s="1"/>
  <c r="Q30" i="29"/>
  <c r="R30" i="29" s="1"/>
  <c r="K81" i="38"/>
  <c r="K93" i="38" s="1"/>
  <c r="H67" i="38"/>
  <c r="H24" i="38" s="1"/>
  <c r="H35" i="38"/>
  <c r="H90" i="38" s="1"/>
  <c r="N19" i="38"/>
  <c r="N91" i="38" s="1"/>
  <c r="T28" i="29"/>
  <c r="U27" i="29"/>
  <c r="V57" i="24"/>
  <c r="AB57" i="24"/>
  <c r="F108" i="26"/>
  <c r="G108" i="26"/>
  <c r="O34" i="29"/>
  <c r="P31" i="29"/>
  <c r="F93" i="26"/>
  <c r="F82" i="26" s="1"/>
  <c r="Q70" i="26" s="1"/>
  <c r="G4" i="15"/>
  <c r="G93" i="26"/>
  <c r="G12" i="15"/>
  <c r="H19" i="38"/>
  <c r="H91" i="38" s="1"/>
  <c r="H20" i="38"/>
  <c r="H92" i="38" s="1"/>
  <c r="P12" i="22"/>
  <c r="F92" i="26"/>
  <c r="H92" i="26"/>
  <c r="H80" i="26" s="1"/>
  <c r="I15" i="26"/>
  <c r="J15" i="26" s="1"/>
  <c r="L92" i="26" s="1"/>
  <c r="E92" i="26"/>
  <c r="E80" i="26" s="1"/>
  <c r="E88" i="26" s="1"/>
  <c r="E57" i="24"/>
  <c r="H12" i="22"/>
  <c r="J12" i="22"/>
  <c r="F13" i="22" s="1"/>
  <c r="I12" i="22"/>
  <c r="E12" i="22"/>
  <c r="M12" i="22"/>
  <c r="G12" i="22"/>
  <c r="J74" i="26"/>
  <c r="J76" i="26"/>
  <c r="J77" i="26" s="1"/>
  <c r="I76" i="26"/>
  <c r="I77" i="26" s="1"/>
  <c r="I74" i="26"/>
  <c r="H76" i="26"/>
  <c r="H74" i="26"/>
  <c r="J31" i="27"/>
  <c r="P57" i="24"/>
  <c r="S47" i="24"/>
  <c r="P47" i="24" s="1"/>
  <c r="E78" i="37"/>
  <c r="E84" i="37" s="1"/>
  <c r="P89" i="26"/>
  <c r="I54" i="23"/>
  <c r="J28" i="26"/>
  <c r="J93" i="26" s="1"/>
  <c r="G53" i="23"/>
  <c r="H47" i="24"/>
  <c r="H32" i="26"/>
  <c r="E16" i="16" s="1"/>
  <c r="E17" i="16" s="1"/>
  <c r="E15" i="16"/>
  <c r="I69" i="26"/>
  <c r="H14" i="16"/>
  <c r="J32" i="26"/>
  <c r="J69" i="26"/>
  <c r="E79" i="26" l="1"/>
  <c r="E118" i="26" s="1"/>
  <c r="R31" i="29"/>
  <c r="T29" i="29"/>
  <c r="K57" i="38" s="1"/>
  <c r="K23" i="38" s="1"/>
  <c r="U28" i="29"/>
  <c r="F96" i="26"/>
  <c r="G81" i="26"/>
  <c r="G82" i="26"/>
  <c r="F81" i="26"/>
  <c r="H68" i="38"/>
  <c r="N20" i="38"/>
  <c r="N92" i="38" s="1"/>
  <c r="H79" i="26"/>
  <c r="H118" i="26" s="1"/>
  <c r="K92" i="26"/>
  <c r="K79" i="26" s="1"/>
  <c r="F80" i="26"/>
  <c r="F88" i="26" s="1"/>
  <c r="G92" i="26"/>
  <c r="G79" i="26" s="1"/>
  <c r="F79" i="26"/>
  <c r="H96" i="26"/>
  <c r="E96" i="26"/>
  <c r="K15" i="26"/>
  <c r="L15" i="26" s="1"/>
  <c r="J92" i="26" s="1"/>
  <c r="J79" i="26" s="1"/>
  <c r="I92" i="26"/>
  <c r="I79" i="26" s="1"/>
  <c r="J32" i="27"/>
  <c r="L13" i="7" s="1"/>
  <c r="L14" i="7" s="1"/>
  <c r="L15" i="7" s="1"/>
  <c r="L16" i="7" s="1"/>
  <c r="L17" i="7" s="1"/>
  <c r="L18" i="7" s="1"/>
  <c r="L19" i="7" s="1"/>
  <c r="L20" i="7" s="1"/>
  <c r="L21" i="7" s="1"/>
  <c r="L22" i="7" s="1"/>
  <c r="L23" i="7" s="1"/>
  <c r="L24" i="7" s="1"/>
  <c r="R12" i="22"/>
  <c r="J78" i="26"/>
  <c r="J102" i="26" s="1"/>
  <c r="J108" i="26" s="1"/>
  <c r="J81" i="26" s="1"/>
  <c r="I78" i="26"/>
  <c r="I102" i="26" s="1"/>
  <c r="H77" i="26"/>
  <c r="H78" i="26"/>
  <c r="H102" i="26" s="1"/>
  <c r="E85" i="37"/>
  <c r="N9" i="22" s="1"/>
  <c r="H88" i="26"/>
  <c r="S66" i="26"/>
  <c r="L96" i="26"/>
  <c r="L79" i="26"/>
  <c r="L80" i="26"/>
  <c r="L88" i="26" s="1"/>
  <c r="E87" i="26"/>
  <c r="C18" i="16" s="1"/>
  <c r="H12" i="35"/>
  <c r="E47" i="24"/>
  <c r="J82" i="26"/>
  <c r="P48" i="24"/>
  <c r="P54" i="24" s="1"/>
  <c r="P13" i="22"/>
  <c r="K13" i="22"/>
  <c r="I13" i="22"/>
  <c r="G13" i="22"/>
  <c r="E13" i="22"/>
  <c r="J13" i="22"/>
  <c r="F14" i="22" s="1"/>
  <c r="M13" i="22"/>
  <c r="H13" i="22"/>
  <c r="H69" i="26"/>
  <c r="E14" i="16"/>
  <c r="G96" i="26" l="1"/>
  <c r="F97" i="26"/>
  <c r="U29" i="29"/>
  <c r="K67" i="38" s="1"/>
  <c r="K24" i="38" s="1"/>
  <c r="T30" i="29"/>
  <c r="G125" i="26"/>
  <c r="Q69" i="26"/>
  <c r="Q71" i="26" s="1"/>
  <c r="F125" i="26"/>
  <c r="V48" i="24"/>
  <c r="V54" i="24" s="1"/>
  <c r="Q66" i="26"/>
  <c r="F118" i="26"/>
  <c r="N23" i="18" s="1"/>
  <c r="S65" i="26"/>
  <c r="S67" i="26" s="1"/>
  <c r="K80" i="26"/>
  <c r="K88" i="26" s="1"/>
  <c r="K96" i="26"/>
  <c r="G80" i="26"/>
  <c r="G88" i="26" s="1"/>
  <c r="F87" i="26"/>
  <c r="D18" i="16" s="1"/>
  <c r="I80" i="26"/>
  <c r="I88" i="26" s="1"/>
  <c r="Q65" i="26"/>
  <c r="Q67" i="26" s="1"/>
  <c r="J96" i="26"/>
  <c r="J80" i="26"/>
  <c r="J118" i="26" s="1"/>
  <c r="I96" i="26"/>
  <c r="L118" i="26"/>
  <c r="G78" i="37"/>
  <c r="O9" i="22"/>
  <c r="I108" i="26"/>
  <c r="I81" i="26" s="1"/>
  <c r="H108" i="26"/>
  <c r="H81" i="26" s="1"/>
  <c r="G84" i="37"/>
  <c r="G80" i="37"/>
  <c r="G81" i="37"/>
  <c r="G79" i="37"/>
  <c r="G82" i="37"/>
  <c r="G85" i="37"/>
  <c r="E86" i="37"/>
  <c r="G83" i="37"/>
  <c r="E89" i="26"/>
  <c r="L87" i="26"/>
  <c r="L89" i="26" s="1"/>
  <c r="K87" i="26"/>
  <c r="G87" i="26"/>
  <c r="G18" i="16" s="1"/>
  <c r="J87" i="26"/>
  <c r="J125" i="26"/>
  <c r="E48" i="24"/>
  <c r="E54" i="24" s="1"/>
  <c r="E12" i="35"/>
  <c r="R13" i="22"/>
  <c r="P14" i="22"/>
  <c r="K14" i="22"/>
  <c r="I14" i="22"/>
  <c r="G14" i="22"/>
  <c r="E14" i="22"/>
  <c r="M14" i="22"/>
  <c r="J14" i="22"/>
  <c r="H14" i="22"/>
  <c r="G97" i="26" l="1"/>
  <c r="K35" i="38"/>
  <c r="K90" i="38" s="1"/>
  <c r="U30" i="29"/>
  <c r="T31" i="29"/>
  <c r="U31" i="29" s="1"/>
  <c r="AE47" i="24"/>
  <c r="AB47" i="24" s="1"/>
  <c r="AB48" i="24"/>
  <c r="AB54" i="24" s="1"/>
  <c r="V55" i="24"/>
  <c r="X55" i="24" s="1"/>
  <c r="M8" i="17"/>
  <c r="P55" i="24"/>
  <c r="R53" i="24" s="1"/>
  <c r="K89" i="26"/>
  <c r="K127" i="26" s="1"/>
  <c r="K118" i="26"/>
  <c r="G118" i="26"/>
  <c r="N28" i="18" s="1"/>
  <c r="N20" i="18" s="1"/>
  <c r="F89" i="26"/>
  <c r="F116" i="26" s="1"/>
  <c r="P23" i="18" s="1"/>
  <c r="I118" i="26"/>
  <c r="J88" i="26"/>
  <c r="J89" i="26" s="1"/>
  <c r="I125" i="26"/>
  <c r="I87" i="26"/>
  <c r="H18" i="16" s="1"/>
  <c r="S69" i="26"/>
  <c r="S71" i="26" s="1"/>
  <c r="H125" i="26"/>
  <c r="H87" i="26"/>
  <c r="G89" i="26"/>
  <c r="E127" i="26"/>
  <c r="E116" i="26"/>
  <c r="C19" i="16"/>
  <c r="L116" i="26"/>
  <c r="L127" i="26"/>
  <c r="E55" i="24"/>
  <c r="G53" i="24" s="1"/>
  <c r="R14" i="22"/>
  <c r="H20" i="35"/>
  <c r="E20" i="35" s="1"/>
  <c r="E18" i="35"/>
  <c r="E23" i="35"/>
  <c r="L34" i="35" s="1"/>
  <c r="P56" i="24" l="1"/>
  <c r="K68" i="38"/>
  <c r="X54" i="24"/>
  <c r="AB55" i="24"/>
  <c r="AD48" i="24" s="1"/>
  <c r="R57" i="24"/>
  <c r="X47" i="24"/>
  <c r="X48" i="24"/>
  <c r="X53" i="24"/>
  <c r="X49" i="24"/>
  <c r="X50" i="24"/>
  <c r="V56" i="24"/>
  <c r="R48" i="24"/>
  <c r="R52" i="24"/>
  <c r="R47" i="24"/>
  <c r="X57" i="24"/>
  <c r="V58" i="24"/>
  <c r="R49" i="24"/>
  <c r="R50" i="24"/>
  <c r="R55" i="24"/>
  <c r="P58" i="24"/>
  <c r="P59" i="24" s="1"/>
  <c r="R51" i="24"/>
  <c r="N10" i="22"/>
  <c r="R54" i="24"/>
  <c r="K116" i="26"/>
  <c r="K126" i="26" s="1"/>
  <c r="N29" i="18"/>
  <c r="N21" i="18"/>
  <c r="N25" i="18"/>
  <c r="N19" i="18"/>
  <c r="N27" i="18"/>
  <c r="N22" i="18"/>
  <c r="N24" i="18"/>
  <c r="N26" i="18"/>
  <c r="N30" i="18"/>
  <c r="D19" i="16"/>
  <c r="F127" i="26"/>
  <c r="J116" i="26"/>
  <c r="J122" i="26" s="1"/>
  <c r="J124" i="26" s="1"/>
  <c r="I89" i="26"/>
  <c r="H19" i="16" s="1"/>
  <c r="L8" i="17"/>
  <c r="J127" i="26"/>
  <c r="E18" i="16"/>
  <c r="H89" i="26"/>
  <c r="L122" i="26"/>
  <c r="L124" i="26" s="1"/>
  <c r="L126" i="26"/>
  <c r="F126" i="26"/>
  <c r="F122" i="26"/>
  <c r="F124" i="26" s="1"/>
  <c r="D20" i="16"/>
  <c r="E126" i="26"/>
  <c r="C20" i="16"/>
  <c r="E122" i="26"/>
  <c r="E124" i="26" s="1"/>
  <c r="G116" i="26"/>
  <c r="G127" i="26"/>
  <c r="G19" i="16"/>
  <c r="G54" i="24"/>
  <c r="G51" i="24"/>
  <c r="G48" i="24"/>
  <c r="E56" i="24"/>
  <c r="H14" i="35" s="1"/>
  <c r="H21" i="35" s="1"/>
  <c r="G49" i="24"/>
  <c r="E58" i="24"/>
  <c r="G52" i="24"/>
  <c r="G55" i="24"/>
  <c r="G50" i="24"/>
  <c r="N11" i="22"/>
  <c r="N12" i="22" s="1"/>
  <c r="N13" i="22" s="1"/>
  <c r="N14" i="22" s="1"/>
  <c r="G57" i="24"/>
  <c r="G47" i="24"/>
  <c r="H22" i="35"/>
  <c r="E22" i="35" s="1"/>
  <c r="G33" i="35" s="1"/>
  <c r="R58" i="24" l="1"/>
  <c r="H77" i="38"/>
  <c r="H22" i="38" s="1"/>
  <c r="H88" i="38" s="1"/>
  <c r="I90" i="38" s="1"/>
  <c r="AD57" i="24"/>
  <c r="AD53" i="24"/>
  <c r="AB58" i="24"/>
  <c r="AB59" i="24" s="1"/>
  <c r="AD50" i="24"/>
  <c r="AD54" i="24"/>
  <c r="AD49" i="24"/>
  <c r="AD47" i="24"/>
  <c r="AD55" i="24"/>
  <c r="AB56" i="24"/>
  <c r="X58" i="24"/>
  <c r="V59" i="24"/>
  <c r="K122" i="26"/>
  <c r="K124" i="26" s="1"/>
  <c r="J126" i="26"/>
  <c r="I116" i="26"/>
  <c r="I127" i="26"/>
  <c r="H127" i="26"/>
  <c r="E19" i="16"/>
  <c r="H116" i="26"/>
  <c r="G126" i="26"/>
  <c r="M9" i="17" s="1"/>
  <c r="G122" i="26"/>
  <c r="G124" i="26" s="1"/>
  <c r="G20" i="16"/>
  <c r="P28" i="18"/>
  <c r="E59" i="24"/>
  <c r="G58" i="24"/>
  <c r="E21" i="35"/>
  <c r="G32" i="35" s="1"/>
  <c r="E14" i="35"/>
  <c r="H13" i="35"/>
  <c r="E13" i="35" s="1"/>
  <c r="H26" i="38" l="1"/>
  <c r="I26" i="38" s="1"/>
  <c r="I25" i="38"/>
  <c r="I24" i="38"/>
  <c r="I23" i="38"/>
  <c r="N77" i="38"/>
  <c r="K77" i="38"/>
  <c r="AD58" i="24"/>
  <c r="J60" i="24"/>
  <c r="O10" i="22" s="1"/>
  <c r="D14" i="22"/>
  <c r="I122" i="26"/>
  <c r="I124" i="26" s="1"/>
  <c r="R28" i="18"/>
  <c r="U28" i="18" s="1"/>
  <c r="H20" i="16"/>
  <c r="D13" i="22"/>
  <c r="I126" i="26"/>
  <c r="E117" i="26"/>
  <c r="G117" i="26"/>
  <c r="D12" i="22"/>
  <c r="D11" i="22" s="1"/>
  <c r="P29" i="18"/>
  <c r="Q29" i="18" s="1"/>
  <c r="P30" i="18"/>
  <c r="P27" i="18"/>
  <c r="P26" i="18"/>
  <c r="P25" i="18"/>
  <c r="P24" i="18"/>
  <c r="P22" i="18"/>
  <c r="Q23" i="18" s="1"/>
  <c r="P21" i="18"/>
  <c r="P20" i="18"/>
  <c r="E20" i="16"/>
  <c r="H126" i="26"/>
  <c r="H122" i="26"/>
  <c r="H124" i="26" s="1"/>
  <c r="F117" i="26"/>
  <c r="R23" i="18"/>
  <c r="U23" i="18" s="1"/>
  <c r="M25" i="17"/>
  <c r="M21" i="17"/>
  <c r="M18" i="17"/>
  <c r="M14" i="17"/>
  <c r="M24" i="17"/>
  <c r="M19" i="17"/>
  <c r="M15" i="17"/>
  <c r="M27" i="17"/>
  <c r="M23" i="17"/>
  <c r="M20" i="17"/>
  <c r="M16" i="17"/>
  <c r="M26" i="17"/>
  <c r="M22" i="17"/>
  <c r="M17" i="17"/>
  <c r="M13" i="17"/>
  <c r="G35" i="35"/>
  <c r="H35" i="35" s="1"/>
  <c r="N22" i="38" l="1"/>
  <c r="N88" i="38" s="1"/>
  <c r="O90" i="38" s="1"/>
  <c r="K22" i="38"/>
  <c r="K88" i="38" s="1"/>
  <c r="D10" i="22"/>
  <c r="H29" i="38"/>
  <c r="H32" i="38"/>
  <c r="L9" i="17"/>
  <c r="L18" i="17" s="1"/>
  <c r="O18" i="17" s="1"/>
  <c r="Q30" i="18"/>
  <c r="R29" i="18"/>
  <c r="U29" i="18" s="1"/>
  <c r="R30" i="18"/>
  <c r="U30" i="18" s="1"/>
  <c r="R27" i="18"/>
  <c r="S28" i="18" s="1"/>
  <c r="R24" i="18"/>
  <c r="S24" i="18" s="1"/>
  <c r="R26" i="18"/>
  <c r="U26" i="18" s="1"/>
  <c r="R25" i="18"/>
  <c r="U25" i="18" s="1"/>
  <c r="Q25" i="18"/>
  <c r="Q26" i="18"/>
  <c r="Q27" i="18"/>
  <c r="Q28" i="18"/>
  <c r="Q24" i="18"/>
  <c r="Q21" i="18"/>
  <c r="Q22" i="18"/>
  <c r="I35" i="35"/>
  <c r="H36" i="35"/>
  <c r="G36" i="35"/>
  <c r="L23" i="38" l="1"/>
  <c r="L90" i="38"/>
  <c r="N26" i="38"/>
  <c r="K26" i="38"/>
  <c r="O25" i="38"/>
  <c r="N29" i="38"/>
  <c r="K29" i="38"/>
  <c r="L25" i="38"/>
  <c r="O24" i="38"/>
  <c r="O23" i="38"/>
  <c r="L24" i="38"/>
  <c r="K32" i="38"/>
  <c r="N32" i="38"/>
  <c r="H28" i="38"/>
  <c r="L26" i="17"/>
  <c r="O26" i="17" s="1"/>
  <c r="L16" i="17"/>
  <c r="O16" i="17" s="1"/>
  <c r="L20" i="17"/>
  <c r="O20" i="17" s="1"/>
  <c r="L23" i="17"/>
  <c r="O23" i="17" s="1"/>
  <c r="L22" i="17"/>
  <c r="O22" i="17" s="1"/>
  <c r="L17" i="17"/>
  <c r="O17" i="17" s="1"/>
  <c r="L15" i="17"/>
  <c r="O15" i="17" s="1"/>
  <c r="L21" i="17"/>
  <c r="O21" i="17" s="1"/>
  <c r="L19" i="17"/>
  <c r="O19" i="17" s="1"/>
  <c r="L24" i="17"/>
  <c r="O24" i="17" s="1"/>
  <c r="L25" i="17"/>
  <c r="O25" i="17" s="1"/>
  <c r="L14" i="17"/>
  <c r="O14" i="17" s="1"/>
  <c r="L27" i="17"/>
  <c r="O27" i="17" s="1"/>
  <c r="L13" i="17"/>
  <c r="O13" i="17" s="1"/>
  <c r="U24" i="18"/>
  <c r="U27" i="18"/>
  <c r="S25" i="18"/>
  <c r="S26" i="18"/>
  <c r="S27" i="18"/>
  <c r="J35" i="35"/>
  <c r="I36" i="35"/>
  <c r="H89" i="38" l="1"/>
  <c r="I89" i="38" s="1"/>
  <c r="H39" i="38"/>
  <c r="K28" i="38"/>
  <c r="K89" i="38" s="1"/>
  <c r="L89" i="38" s="1"/>
  <c r="N28" i="38"/>
  <c r="N89" i="38" s="1"/>
  <c r="O89" i="38" s="1"/>
  <c r="K35" i="35"/>
  <c r="J36" i="35"/>
  <c r="N39" i="38" l="1"/>
  <c r="K39" i="38"/>
  <c r="L35" i="35"/>
  <c r="K36" i="35"/>
  <c r="M35" i="35" l="1"/>
  <c r="L36" i="35"/>
  <c r="N35" i="35" l="1"/>
  <c r="M36" i="35"/>
  <c r="O35" i="35" l="1"/>
  <c r="N36" i="35"/>
  <c r="P35" i="35" l="1"/>
  <c r="O36" i="35"/>
  <c r="Q35" i="35" l="1"/>
  <c r="Q36" i="35" s="1"/>
  <c r="P36" i="35"/>
  <c r="G39" i="35" l="1"/>
  <c r="L26" i="38"/>
  <c r="O26"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DIDIER</author>
  </authors>
  <commentList>
    <comment ref="H36" authorId="0" shapeId="0" xr:uid="{00000000-0006-0000-0000-000001000000}">
      <text>
        <r>
          <rPr>
            <sz val="9"/>
            <color indexed="81"/>
            <rFont val="Tahoma"/>
            <family val="2"/>
          </rPr>
          <t>Altough recycling Zin-Air should be easy and not dangerous, probably it will only payback the cost of doing the swap.</t>
        </r>
      </text>
    </comment>
    <comment ref="K36" authorId="0" shapeId="0" xr:uid="{00000000-0006-0000-0000-000002000000}">
      <text>
        <r>
          <rPr>
            <sz val="9"/>
            <color indexed="81"/>
            <rFont val="Tahoma"/>
            <family val="2"/>
          </rPr>
          <t>We expect the value of the Lead to represent a large part of the value of these cells, but transport and swaping for fresh cells is cumbersome...</t>
        </r>
      </text>
    </comment>
    <comment ref="N36" authorId="0" shapeId="0" xr:uid="{00000000-0006-0000-0000-000003000000}">
      <text>
        <r>
          <rPr>
            <sz val="9"/>
            <color indexed="81"/>
            <rFont val="Tahoma"/>
            <family val="2"/>
          </rPr>
          <t>Recycling Li-ion cells is a hazardous thus costly process.</t>
        </r>
      </text>
    </comment>
    <comment ref="Q45" authorId="0" shapeId="0" xr:uid="{00000000-0006-0000-0000-000004000000}">
      <text>
        <r>
          <rPr>
            <b/>
            <sz val="9"/>
            <color indexed="81"/>
            <rFont val="Tahoma"/>
            <family val="2"/>
          </rPr>
          <t>Deep-discharge high capacity cells have a slower discharge rate. 
Confortable discharge rate for these "Deep-Discharge" cells:
&gt; Li-ion: 2 to 4 hours
&gt; Lead-acid: 3 to 6 hours
&gt; Zinc-air: 6 to 10 hours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DIDIER</author>
    <author/>
  </authors>
  <commentList>
    <comment ref="M27" authorId="0" shapeId="0" xr:uid="{00000000-0006-0000-0700-000001000000}">
      <text>
        <r>
          <rPr>
            <b/>
            <sz val="9"/>
            <color indexed="81"/>
            <rFont val="Tahoma"/>
            <family val="2"/>
          </rPr>
          <t>overheqd vs. Cells</t>
        </r>
      </text>
    </comment>
    <comment ref="N27" authorId="0" shapeId="0" xr:uid="{00000000-0006-0000-0700-000002000000}">
      <text>
        <r>
          <rPr>
            <b/>
            <sz val="9"/>
            <color indexed="81"/>
            <rFont val="Tahoma"/>
            <family val="2"/>
          </rPr>
          <t>cost decrease per year</t>
        </r>
      </text>
    </comment>
    <comment ref="E44" authorId="1" shapeId="0" xr:uid="{00000000-0006-0000-0700-000003000000}">
      <text>
        <r>
          <rPr>
            <sz val="11"/>
            <color rgb="FF000000"/>
            <rFont val="Calibri"/>
            <family val="2"/>
            <charset val="1"/>
          </rPr>
          <t>6 ans de duree de vie en pratique !
2800 cyc 60%dod
pb opvdef</t>
        </r>
      </text>
    </comment>
  </commentList>
</comments>
</file>

<file path=xl/sharedStrings.xml><?xml version="1.0" encoding="utf-8"?>
<sst xmlns="http://schemas.openxmlformats.org/spreadsheetml/2006/main" count="1816" uniqueCount="985">
  <si>
    <t>LCOE</t>
  </si>
  <si>
    <t>$/kWh</t>
  </si>
  <si>
    <t>Solar PV</t>
  </si>
  <si>
    <t>AZA</t>
  </si>
  <si>
    <t>Li-ion</t>
  </si>
  <si>
    <t>Year</t>
  </si>
  <si>
    <t>Lead-acid</t>
  </si>
  <si>
    <t>stable</t>
  </si>
  <si>
    <t>Cycles nbr</t>
  </si>
  <si>
    <t>year</t>
  </si>
  <si>
    <t>Zinc-Air</t>
  </si>
  <si>
    <t>Germany</t>
  </si>
  <si>
    <t>AZA Zinc-Air vs Lead-acid and Li-ion</t>
  </si>
  <si>
    <r>
      <rPr>
        <b/>
        <sz val="10"/>
        <rFont val="Arial"/>
        <family val="2"/>
        <charset val="1"/>
      </rPr>
      <t>PV-Solar Farm Use case</t>
    </r>
    <r>
      <rPr>
        <sz val="10"/>
        <rFont val="Arial"/>
        <family val="2"/>
        <charset val="1"/>
      </rPr>
      <t xml:space="preserve"> (simplified comparison)</t>
    </r>
  </si>
  <si>
    <t>Lead-Acid</t>
  </si>
  <si>
    <t>AZA Zinc-Air</t>
  </si>
  <si>
    <t>Capacity</t>
  </si>
  <si>
    <t>Weight</t>
  </si>
  <si>
    <t>Energy density</t>
  </si>
  <si>
    <t>Volume</t>
  </si>
  <si>
    <t>Environment Friendly</t>
  </si>
  <si>
    <t>toxic</t>
  </si>
  <si>
    <t>very toxic</t>
  </si>
  <si>
    <t>non toxic</t>
  </si>
  <si>
    <t>Risk of Fire &amp; Explosion</t>
  </si>
  <si>
    <t>low</t>
  </si>
  <si>
    <t>high</t>
  </si>
  <si>
    <t>lowest</t>
  </si>
  <si>
    <t>Operation in Hot Climates</t>
  </si>
  <si>
    <t>suffering</t>
  </si>
  <si>
    <t>dangerous</t>
  </si>
  <si>
    <t>well suited</t>
  </si>
  <si>
    <t>Raw Material availability</t>
  </si>
  <si>
    <t>no issue</t>
  </si>
  <si>
    <t>regional</t>
  </si>
  <si>
    <t>Recycling / Circular Econnomy</t>
  </si>
  <si>
    <t>YES</t>
  </si>
  <si>
    <t>Not viable</t>
  </si>
  <si>
    <t>Impact of Intermitent Electricity Cost on Battery Stabilized Electricity Cost</t>
  </si>
  <si>
    <t>AZA vs Li-ion</t>
  </si>
  <si>
    <r>
      <rPr>
        <b/>
        <sz val="10"/>
        <rFont val="Arial"/>
        <family val="2"/>
        <charset val="1"/>
      </rPr>
      <t>PV Solar electricity costs diminished so rapidly that we already are in the</t>
    </r>
    <r>
      <rPr>
        <b/>
        <sz val="10"/>
        <color rgb="FF00CC33"/>
        <rFont val="Arial"/>
        <family val="2"/>
        <charset val="1"/>
      </rPr>
      <t xml:space="preserve"> Green Zone</t>
    </r>
    <r>
      <rPr>
        <b/>
        <sz val="10"/>
        <rFont val="Arial"/>
        <family val="2"/>
        <charset val="1"/>
      </rPr>
      <t xml:space="preserve"> …</t>
    </r>
  </si>
  <si>
    <t>Battery capacity cost</t>
  </si>
  <si>
    <t>Levelized Cost Of Energy</t>
  </si>
  <si>
    <t>Cell level</t>
  </si>
  <si>
    <t>Pack level</t>
  </si>
  <si>
    <t>Battery Stabilized</t>
  </si>
  <si>
    <t>Production</t>
  </si>
  <si>
    <t>Trend</t>
  </si>
  <si>
    <t>Avg.</t>
  </si>
  <si>
    <t>Delta</t>
  </si>
  <si>
    <t>material cost represents 65% of cell’s cost,</t>
  </si>
  <si>
    <t>pack overhead is 20% in addition</t>
  </si>
  <si>
    <r>
      <rPr>
        <b/>
        <u/>
        <sz val="12"/>
        <color rgb="FF000000"/>
        <rFont val="Calibri"/>
        <family val="2"/>
        <charset val="1"/>
      </rPr>
      <t>Photo Voltaic Parameters</t>
    </r>
    <r>
      <rPr>
        <i/>
        <u/>
        <sz val="12"/>
        <color rgb="FF000000"/>
        <rFont val="Calibri"/>
        <family val="2"/>
        <charset val="1"/>
      </rPr>
      <t xml:space="preserve">  (2019)</t>
    </r>
  </si>
  <si>
    <t>Cost (panels &amp; support):</t>
  </si>
  <si>
    <t>$/Wp</t>
  </si>
  <si>
    <t>Electronics + concrete platforme…</t>
  </si>
  <si>
    <t>Maintenance costs</t>
  </si>
  <si>
    <t>otherhead costs</t>
  </si>
  <si>
    <t>peak prod eq.</t>
  </si>
  <si>
    <t>hours</t>
  </si>
  <si>
    <t>service life</t>
  </si>
  <si>
    <t>years</t>
  </si>
  <si>
    <t>days/year</t>
  </si>
  <si>
    <t>EndOfLife capacity</t>
  </si>
  <si>
    <t>Life TCO</t>
  </si>
  <si>
    <t>$/ kWp</t>
  </si>
  <si>
    <t>Life production</t>
  </si>
  <si>
    <t>Wh / Wp</t>
  </si>
  <si>
    <t>Solar panels degradation rate</t>
  </si>
  <si>
    <t>https://energyinformative.org/lifespan-solar-panels/</t>
  </si>
  <si>
    <t>https://www.engineering.com/DesignerEdge/DesignerEdgeArticles/ArticleID/7475/What-Is-the-Lifespan-of-a-Solar-Panel.aspx</t>
  </si>
  <si>
    <t>Wind</t>
  </si>
  <si>
    <t>avg.</t>
  </si>
  <si>
    <t>Portal</t>
  </si>
  <si>
    <t>http://www.pvresources.com/en/solarradiation/solarradiation.php</t>
  </si>
  <si>
    <t>https://developer.nrel.gov/docs/solar/</t>
  </si>
  <si>
    <t>https://www.solarreviews.com/solar-panels/solar-panel-cost/</t>
  </si>
  <si>
    <t>https://news.energysage.com/how-long-do-solar-panels-last/</t>
  </si>
  <si>
    <t>Solar Radiation</t>
  </si>
  <si>
    <t>Ignoring clouds, the daily average insolation for the Earth is approximately 6 kWh/m2 (i.e. 2190 kWh/m2/year).</t>
  </si>
  <si>
    <t>https://en.wikipedia.org/wiki/Solar_irradiance</t>
  </si>
  <si>
    <t>https://ec.europa.eu/jrc/en/pvgis</t>
  </si>
  <si>
    <t>Geographical Assessment of Solar Resource and Performance of Photovoltaic Technology. Calculations for European teritory, Mediteranian region and Africa are available.</t>
  </si>
  <si>
    <t>Yearly values</t>
  </si>
  <si>
    <t>GTI opta</t>
  </si>
  <si>
    <t>PVOUT</t>
  </si>
  <si>
    <t>Yerevan</t>
  </si>
  <si>
    <t>kWh elec.  / sun irrad.</t>
  </si>
  <si>
    <t>Colombia – Barranquilla</t>
  </si>
  <si>
    <t>URL https://globalsolaratlas.info/map?c=10.874779,-74.792175,11&amp;s=11.023428,-74.823074</t>
  </si>
  <si>
    <t xml:space="preserve">Given from YellowGreen : </t>
  </si>
  <si>
    <t>MWh/year</t>
  </si>
  <si>
    <t>m2</t>
  </si>
  <si>
    <t>kWh/(m2.year)</t>
  </si>
  <si>
    <t>https://www.groupe-casino.fr/en/group/activities/green-yellow/</t>
  </si>
  <si>
    <t xml:space="preserve">Paris </t>
  </si>
  <si>
    <t>Brussels</t>
  </si>
  <si>
    <t>Bordeaux</t>
  </si>
  <si>
    <t>Tanger</t>
  </si>
  <si>
    <t>Rabat, Casablanca</t>
  </si>
  <si>
    <t>Marseille, Toulon</t>
  </si>
  <si>
    <t>Faro (PT)</t>
  </si>
  <si>
    <t>Malaga, Seville</t>
  </si>
  <si>
    <t>Andorre</t>
  </si>
  <si>
    <t>Valencia</t>
  </si>
  <si>
    <t>London</t>
  </si>
  <si>
    <t>Dublin</t>
  </si>
  <si>
    <t>Praha</t>
  </si>
  <si>
    <t>Denmark</t>
  </si>
  <si>
    <t>United States</t>
  </si>
  <si>
    <t>https://www.nrel.gov/gis/solar.html</t>
  </si>
  <si>
    <t>https://www.nrel.gov/gis/data-tools.html</t>
  </si>
  <si>
    <t>https://emp.lbl.gov/tracking-the-sun/</t>
  </si>
  <si>
    <t>National Solar Radiation Database (NSRDB) weather station</t>
  </si>
  <si>
    <t>World</t>
  </si>
  <si>
    <t>https://globalsolaratlas.info/map?c=19.55979,67.5,3</t>
  </si>
  <si>
    <t>https://globalsolaratlas.info/map?c=41.253032,-0.241699,6&amp;s=43.628123,5.625&amp;m=site</t>
  </si>
  <si>
    <t>Simulation Service</t>
  </si>
  <si>
    <t>https://solargis.com/pricing/products-and-plans</t>
  </si>
  <si>
    <t>https://emp.lbl.gov/wind-power-purchase-agreement-ppa-prices</t>
  </si>
  <si>
    <t>https://emp.lbl.gov/pv-ppa-prices</t>
  </si>
  <si>
    <t>https://emp.lbl.gov/us-wind-turbine-database</t>
  </si>
  <si>
    <t>United States Wind Turbine Database</t>
  </si>
  <si>
    <t>https://www.sciencebase.gov/catalog/item/57bdfd8fe4b03fd6b7df5ff9</t>
  </si>
  <si>
    <t>Database and REST API</t>
  </si>
  <si>
    <t>Global Wind Artlas</t>
  </si>
  <si>
    <t>https://globalwindatlas.info/</t>
  </si>
  <si>
    <t>Energy Open Data</t>
  </si>
  <si>
    <t>https://energydata.info/</t>
  </si>
  <si>
    <t>600 datasheets on 175 countries…</t>
  </si>
  <si>
    <t>Lithium</t>
  </si>
  <si>
    <t>kg</t>
  </si>
  <si>
    <t>Wh/kg</t>
  </si>
  <si>
    <t>g/cc</t>
  </si>
  <si>
    <t>Maximum Service Life</t>
  </si>
  <si>
    <t>%</t>
  </si>
  <si>
    <t>Partial cycles gamma coef</t>
  </si>
  <si>
    <t>cycles</t>
  </si>
  <si>
    <t>Min</t>
  </si>
  <si>
    <t>Max</t>
  </si>
  <si>
    <t>Cycles Nbr</t>
  </si>
  <si>
    <t>Capacity Needed from Battery</t>
  </si>
  <si>
    <t>Margin for Aging</t>
  </si>
  <si>
    <t>PV production</t>
  </si>
  <si>
    <t>PV Prod Equipt (computed)</t>
  </si>
  <si>
    <t>PV production equipt (installed)</t>
  </si>
  <si>
    <t>#</t>
  </si>
  <si>
    <t>Battery SOC high (nominal)</t>
  </si>
  <si>
    <t>Battery SOC low (nominal)</t>
  </si>
  <si>
    <t>Cycles nbr (theoretical)</t>
  </si>
  <si>
    <t>Service life (practical)</t>
  </si>
  <si>
    <t>AZA Battery</t>
  </si>
  <si>
    <t xml:space="preserve"> = exponentiation factor due to partial capacity usage</t>
  </si>
  <si>
    <t>Cycles Number</t>
  </si>
  <si>
    <t>*Wh/kg</t>
  </si>
  <si>
    <t>LT Goal</t>
  </si>
  <si>
    <t>*End of life:</t>
  </si>
  <si>
    <t>*end of life  = 80% capacity still available</t>
  </si>
  <si>
    <t>RedFlow</t>
  </si>
  <si>
    <t>Zinc air</t>
  </si>
  <si>
    <t>Wh</t>
  </si>
  <si>
    <t>hour</t>
  </si>
  <si>
    <t>coef/max</t>
  </si>
  <si>
    <t>Secure
Charge
Range</t>
  </si>
  <si>
    <t>Range</t>
  </si>
  <si>
    <t>Optimal
Charge
Range</t>
  </si>
  <si>
    <t>Service life</t>
  </si>
  <si>
    <t>In case of Lead-acid, CycNbr x Partial-DOD coef = Cst</t>
  </si>
  <si>
    <t>cost of equipment</t>
  </si>
  <si>
    <t>$ / Wp</t>
  </si>
  <si>
    <t>Daily need usage</t>
  </si>
  <si>
    <t>Direct Usage (PV =&gt; Load)</t>
  </si>
  <si>
    <t>Energy Need for Battery (TOTAL)</t>
  </si>
  <si>
    <t>PV</t>
  </si>
  <si>
    <t>Total</t>
  </si>
  <si>
    <t>m3</t>
  </si>
  <si>
    <t>Initial Equipt cost</t>
  </si>
  <si>
    <t>MWh</t>
  </si>
  <si>
    <t>Progress (%/year)</t>
  </si>
  <si>
    <t>cycles max / day</t>
  </si>
  <si>
    <t xml:space="preserve">Cycles Nbr (depending on Wh/kg partial capacity usage)       </t>
  </si>
  <si>
    <t>LCOE stabilized</t>
  </si>
  <si>
    <r>
      <rPr>
        <sz val="10"/>
        <rFont val="Wingdings"/>
        <charset val="2"/>
      </rPr>
      <t></t>
    </r>
    <r>
      <rPr>
        <sz val="9"/>
        <rFont val="Arial"/>
        <family val="2"/>
        <charset val="1"/>
      </rPr>
      <t xml:space="preserve"> </t>
    </r>
    <r>
      <rPr>
        <sz val="10"/>
        <rFont val="Arial"/>
        <family val="2"/>
        <charset val="1"/>
      </rPr>
      <t>when intermitent electricity costs are high (left side), AZA stabilized electricity is only a bit  cheaper than Li-ion stabilized.</t>
    </r>
  </si>
  <si>
    <t>Interpretation:</t>
  </si>
  <si>
    <t>X-axis step</t>
  </si>
  <si>
    <t>MW</t>
  </si>
  <si>
    <t>Photo Voltaic Hypothesis</t>
  </si>
  <si>
    <t>per year</t>
  </si>
  <si>
    <t>TOTAL COST OF EQUIPT</t>
  </si>
  <si>
    <t>Use-Case Hypothesis</t>
  </si>
  <si>
    <t>Solar Farm + Battery</t>
  </si>
  <si>
    <t>MWh/day</t>
  </si>
  <si>
    <t>MWp</t>
  </si>
  <si>
    <t>Energy from External Sources</t>
  </si>
  <si>
    <t>Round Trip Efficiency (system level)</t>
  </si>
  <si>
    <t>Round Trip Efficiency (battery level)</t>
  </si>
  <si>
    <t>Round-Trip Electronics losses</t>
  </si>
  <si>
    <t>Batteries capacity daily used</t>
  </si>
  <si>
    <t>Maximum Available charge</t>
  </si>
  <si>
    <t>Usual daily discharge (@mid life)</t>
  </si>
  <si>
    <t>k$</t>
  </si>
  <si>
    <t>M$</t>
  </si>
  <si>
    <t>GWh</t>
  </si>
  <si>
    <t>Energy Need  (TOTAL)</t>
  </si>
  <si>
    <t xml:space="preserve"> === UNITS ===</t>
  </si>
  <si>
    <t>Battery characteristics Hypothesis</t>
  </si>
  <si>
    <t>ton</t>
  </si>
  <si>
    <t>Factory Cost (cell level)</t>
  </si>
  <si>
    <t>(PV + ESS) System Modelisation</t>
  </si>
  <si>
    <t>Eq. duration at full load</t>
  </si>
  <si>
    <t>over</t>
  </si>
  <si>
    <t>Levelized Cost of Stabilized Electricity
(LCOSE)</t>
  </si>
  <si>
    <t>%/Best</t>
  </si>
  <si>
    <t>Best-Place</t>
  </si>
  <si>
    <t>salary coef / FR</t>
  </si>
  <si>
    <t>Sun level / Best</t>
  </si>
  <si>
    <t xml:space="preserve"> &lt;= Tanger =&gt;</t>
  </si>
  <si>
    <t>kWh/year / kWp</t>
  </si>
  <si>
    <t>kWh/year / m²</t>
  </si>
  <si>
    <t>hours / year</t>
  </si>
  <si>
    <t>Spain (Barcelona…)</t>
  </si>
  <si>
    <t>Maintenance cost</t>
  </si>
  <si>
    <t>% / year</t>
  </si>
  <si>
    <t>hours/day</t>
  </si>
  <si>
    <t>LCOE PV (not stabilized)</t>
  </si>
  <si>
    <t>raw PV output</t>
  </si>
  <si>
    <t>LCOES</t>
  </si>
  <si>
    <t>per W peak</t>
  </si>
  <si>
    <t>Battery system</t>
  </si>
  <si>
    <t>@100Wh/kg</t>
  </si>
  <si>
    <t>ratio / "TCO Solar Farm simulation"</t>
  </si>
  <si>
    <t>MWh system (electricity daily usage)</t>
  </si>
  <si>
    <t>Lev. Cost Of Stabilized Electricy ($/kWh)</t>
  </si>
  <si>
    <t xml:space="preserve"> &lt;= for stationary Weight, Volume are not criteria of choice, remove these rows in Summary?</t>
  </si>
  <si>
    <t>battery stabilization cost</t>
  </si>
  <si>
    <r>
      <t xml:space="preserve"> &lt;= battery stabilization cost</t>
    </r>
    <r>
      <rPr>
        <sz val="10"/>
        <rFont val="Arial"/>
        <family val="2"/>
      </rPr>
      <t xml:space="preserve"> ($ / kWh output)</t>
    </r>
  </si>
  <si>
    <t>Sun Hours</t>
  </si>
  <si>
    <t>(eq. peak)</t>
  </si>
  <si>
    <t>hour/day</t>
  </si>
  <si>
    <t>CAPEX + OPEX</t>
  </si>
  <si>
    <t>AZA / Li-ion</t>
  </si>
  <si>
    <r>
      <t xml:space="preserve">Cheapest Li-ion
</t>
    </r>
    <r>
      <rPr>
        <sz val="10"/>
        <rFont val="Arial"/>
        <family val="2"/>
      </rPr>
      <t xml:space="preserve"> (LiFePO4)</t>
    </r>
  </si>
  <si>
    <r>
      <t xml:space="preserve">AZA Zinc-Air
</t>
    </r>
    <r>
      <rPr>
        <sz val="10"/>
        <rFont val="Arial"/>
        <family val="2"/>
      </rPr>
      <t>(Stationary Usage)</t>
    </r>
  </si>
  <si>
    <t xml:space="preserve"> &lt;= remove this row in Summary?</t>
  </si>
  <si>
    <t>Intermitent
Production</t>
  </si>
  <si>
    <t>Photovoltaic Electricity</t>
  </si>
  <si>
    <t>kWh/kWp</t>
  </si>
  <si>
    <t>Financial costs</t>
  </si>
  <si>
    <t>Levelized Cost Of Energy (bef Fin.)</t>
  </si>
  <si>
    <t>Life Total Financial Costs</t>
  </si>
  <si>
    <t>Chili Atakama desert</t>
  </si>
  <si>
    <t>21-Apr-2020 rev. a</t>
  </si>
  <si>
    <t>Params</t>
  </si>
  <si>
    <t>nbr</t>
  </si>
  <si>
    <t>m</t>
  </si>
  <si>
    <t>mm</t>
  </si>
  <si>
    <t>units</t>
  </si>
  <si>
    <t>PhotoVoltaic Panel</t>
  </si>
  <si>
    <t>Length</t>
  </si>
  <si>
    <t>Width</t>
  </si>
  <si>
    <t>deg</t>
  </si>
  <si>
    <t>inside volume</t>
  </si>
  <si>
    <t>liter</t>
  </si>
  <si>
    <t>dm3</t>
  </si>
  <si>
    <t>kg/dm3</t>
  </si>
  <si>
    <t>energy density</t>
  </si>
  <si>
    <t>kWh</t>
  </si>
  <si>
    <t>Total Volume</t>
  </si>
  <si>
    <t>Symbol</t>
  </si>
  <si>
    <t>Unit</t>
  </si>
  <si>
    <t>A</t>
  </si>
  <si>
    <t>Avogadro</t>
  </si>
  <si>
    <t>e-</t>
  </si>
  <si>
    <t>Coulomb</t>
  </si>
  <si>
    <t>electron charge</t>
  </si>
  <si>
    <t>C</t>
  </si>
  <si>
    <t>Coulomb sec-1</t>
  </si>
  <si>
    <t>Ampere</t>
  </si>
  <si>
    <t>m3 atm K−1 mol−1</t>
  </si>
  <si>
    <t>R</t>
  </si>
  <si>
    <t>O2 share in Air</t>
  </si>
  <si>
    <t>Control: Volume of 1 mole of O2 @300K</t>
  </si>
  <si>
    <t>Zinc-Air Battery System</t>
  </si>
  <si>
    <t>V</t>
  </si>
  <si>
    <t>average voltage</t>
  </si>
  <si>
    <t>Ah</t>
  </si>
  <si>
    <t>Ah needed for 1 kWh</t>
  </si>
  <si>
    <t>electrons needed for 1kWh</t>
  </si>
  <si>
    <t>electrons given per O2 molecule absorbed by air-electrode</t>
  </si>
  <si>
    <t>O2 molecules needed for 1kWh</t>
  </si>
  <si>
    <t>O2 moles needed for 1kWh</t>
  </si>
  <si>
    <t>Air needed for 1kWh</t>
  </si>
  <si>
    <t>Sealed Battery System with pure O2 container/balloon</t>
  </si>
  <si>
    <t>cell or battery capacity</t>
  </si>
  <si>
    <t>cells density</t>
  </si>
  <si>
    <t>Wh/liter</t>
  </si>
  <si>
    <t>Initial volumetric energy</t>
  </si>
  <si>
    <t>volume of Battery System w/o O2 container</t>
  </si>
  <si>
    <t>volume of O2 at 1 bar 300K</t>
  </si>
  <si>
    <t>times</t>
  </si>
  <si>
    <t>ratio O2 volume / cell volume at 1 bar</t>
  </si>
  <si>
    <t>ratio Volume with O2 balloon / volume w/o O2 balloon</t>
  </si>
  <si>
    <t>volumetric energy</t>
  </si>
  <si>
    <t>bars</t>
  </si>
  <si>
    <t>other max balloon pressure</t>
  </si>
  <si>
    <t>Global constants</t>
  </si>
  <si>
    <t>Faraday number</t>
  </si>
  <si>
    <t>Gas constant (gas volume per M)</t>
  </si>
  <si>
    <r>
      <rPr>
        <sz val="11"/>
        <color indexed="8"/>
        <rFont val="Calibri"/>
        <family val="2"/>
      </rPr>
      <t>cm</t>
    </r>
    <r>
      <rPr>
        <vertAlign val="superscript"/>
        <sz val="11"/>
        <color indexed="8"/>
        <rFont val="Calibri"/>
        <family val="2"/>
      </rPr>
      <t>3</t>
    </r>
  </si>
  <si>
    <t>Oxygen share in air</t>
  </si>
  <si>
    <t>Number of Farades per mole of oxygen</t>
  </si>
  <si>
    <t>Farad</t>
  </si>
  <si>
    <t>Dimensions</t>
  </si>
  <si>
    <t>cm</t>
  </si>
  <si>
    <t>Height</t>
  </si>
  <si>
    <t>Gap</t>
  </si>
  <si>
    <t>Gap volume</t>
  </si>
  <si>
    <t>Electrode surface area (double)</t>
  </si>
  <si>
    <r>
      <rPr>
        <sz val="11"/>
        <color indexed="8"/>
        <rFont val="Calibri"/>
        <family val="2"/>
      </rPr>
      <t>cm</t>
    </r>
    <r>
      <rPr>
        <vertAlign val="superscript"/>
        <sz val="11"/>
        <color indexed="8"/>
        <rFont val="Calibri"/>
        <family val="2"/>
      </rPr>
      <t>2</t>
    </r>
  </si>
  <si>
    <t>Power data</t>
  </si>
  <si>
    <t>Current density</t>
  </si>
  <si>
    <r>
      <rPr>
        <sz val="11"/>
        <color indexed="8"/>
        <rFont val="Calibri"/>
        <family val="2"/>
      </rPr>
      <t>mA/cm</t>
    </r>
    <r>
      <rPr>
        <vertAlign val="superscript"/>
        <sz val="11"/>
        <color indexed="8"/>
        <rFont val="Calibri"/>
        <family val="2"/>
      </rPr>
      <t>2</t>
    </r>
  </si>
  <si>
    <t>Capacity demand per hour</t>
  </si>
  <si>
    <t>Ah/h</t>
  </si>
  <si>
    <t>Calculus</t>
  </si>
  <si>
    <t>Oxygen demand per Ah</t>
  </si>
  <si>
    <r>
      <rPr>
        <sz val="11"/>
        <color indexed="8"/>
        <rFont val="Calibri"/>
        <family val="2"/>
      </rPr>
      <t>cm</t>
    </r>
    <r>
      <rPr>
        <vertAlign val="superscript"/>
        <sz val="11"/>
        <color indexed="8"/>
        <rFont val="Calibri"/>
        <family val="2"/>
      </rPr>
      <t>3</t>
    </r>
    <r>
      <rPr>
        <sz val="11"/>
        <color indexed="8"/>
        <rFont val="Calibri"/>
        <family val="2"/>
      </rPr>
      <t>/Ah</t>
    </r>
  </si>
  <si>
    <t>Air demand per Ah</t>
  </si>
  <si>
    <t>Air demand per hour</t>
  </si>
  <si>
    <r>
      <rPr>
        <sz val="11"/>
        <color indexed="8"/>
        <rFont val="Calibri"/>
        <family val="2"/>
      </rPr>
      <t>cm</t>
    </r>
    <r>
      <rPr>
        <vertAlign val="superscript"/>
        <sz val="11"/>
        <color indexed="8"/>
        <rFont val="Calibri"/>
        <family val="2"/>
      </rPr>
      <t>3</t>
    </r>
    <r>
      <rPr>
        <sz val="11"/>
        <color indexed="8"/>
        <rFont val="Calibri"/>
        <family val="2"/>
      </rPr>
      <t>/h</t>
    </r>
  </si>
  <si>
    <t>Number of cells per (horizontal serial)</t>
  </si>
  <si>
    <t>item/h</t>
  </si>
  <si>
    <t>Length of the cells per h</t>
  </si>
  <si>
    <t>cm/h</t>
  </si>
  <si>
    <t>Required air flow velocity to feed the batteries</t>
  </si>
  <si>
    <t>km/h</t>
  </si>
  <si>
    <t>Speed of air to flush the volume</t>
  </si>
  <si>
    <t>equiv</t>
  </si>
  <si>
    <t>cm/s</t>
  </si>
  <si>
    <t xml:space="preserve">O2 volume needed at 1bar 300K (pV=nRT)  for 1kWh </t>
  </si>
  <si>
    <t>Peak power</t>
  </si>
  <si>
    <t>Wp/m2</t>
  </si>
  <si>
    <t>Wp</t>
  </si>
  <si>
    <t>hours peak eq.</t>
  </si>
  <si>
    <t>Load</t>
  </si>
  <si>
    <t>direct from PV</t>
  </si>
  <si>
    <t>Wp / m2</t>
  </si>
  <si>
    <t xml:space="preserve"> &lt;=&lt;=&lt;=</t>
  </si>
  <si>
    <t>Wp/m2 solar</t>
  </si>
  <si>
    <t>needed from Battery</t>
  </si>
  <si>
    <t>full load eq.</t>
  </si>
  <si>
    <t>AZA ZAB energy eff.</t>
  </si>
  <si>
    <t>PV production need</t>
  </si>
  <si>
    <t>hours eq. full load</t>
  </si>
  <si>
    <t>kW</t>
  </si>
  <si>
    <t>from Battery</t>
  </si>
  <si>
    <t>ZAB losses</t>
  </si>
  <si>
    <t>Daily Energy usage</t>
  </si>
  <si>
    <t>ZA Battery requirement</t>
  </si>
  <si>
    <t>capacity daily usage</t>
  </si>
  <si>
    <t>Installed capacity</t>
  </si>
  <si>
    <t>Full load power (stabilized)</t>
  </si>
  <si>
    <t>Stabilized load:</t>
  </si>
  <si>
    <t>hours full load eq.</t>
  </si>
  <si>
    <t>PV Surface</t>
  </si>
  <si>
    <t>Daily Energy Usage</t>
  </si>
  <si>
    <t>daily PV production</t>
  </si>
  <si>
    <t>Floor surface</t>
  </si>
  <si>
    <t>coef because of shade</t>
  </si>
  <si>
    <t>PV Slope angle</t>
  </si>
  <si>
    <t xml:space="preserve"> &lt;= 90 deg means towards the sky</t>
  </si>
  <si>
    <t>C/5</t>
  </si>
  <si>
    <t>PV-Panels</t>
  </si>
  <si>
    <t>unit</t>
  </si>
  <si>
    <t>weight</t>
  </si>
  <si>
    <t>Volume Overhead (Packs vs Cells)</t>
  </si>
  <si>
    <t>Weight Overhead (Packs vs Cells)</t>
  </si>
  <si>
    <t>Battery Pack</t>
  </si>
  <si>
    <t>Cells</t>
  </si>
  <si>
    <t>Volumetric density</t>
  </si>
  <si>
    <t>Overhead weight</t>
  </si>
  <si>
    <t>Cells nbr</t>
  </si>
  <si>
    <t>cells interspace (Width)</t>
  </si>
  <si>
    <t>Nominal capacity</t>
  </si>
  <si>
    <t>Energy density (volumetric)</t>
  </si>
  <si>
    <t>Energy density (gravimetric)</t>
  </si>
  <si>
    <t>Wh/dm3</t>
  </si>
  <si>
    <t>additional volume</t>
  </si>
  <si>
    <t>additional weight</t>
  </si>
  <si>
    <t>including shelves/racks</t>
  </si>
  <si>
    <t>Battery System</t>
  </si>
  <si>
    <t>Battery Packs Nbr</t>
  </si>
  <si>
    <t>Capacity (nominal)</t>
  </si>
  <si>
    <t>Balloons</t>
  </si>
  <si>
    <t>volume with 1 unit less</t>
  </si>
  <si>
    <t>Nbr</t>
  </si>
  <si>
    <t>40 ft container</t>
  </si>
  <si>
    <t>Pack Specs</t>
  </si>
  <si>
    <t>Container</t>
  </si>
  <si>
    <t>distance between packs</t>
  </si>
  <si>
    <t>ft</t>
  </si>
  <si>
    <t>feet</t>
  </si>
  <si>
    <t>20 ft container</t>
  </si>
  <si>
    <t>Packs organization</t>
  </si>
  <si>
    <t>m reserved for electronics, then packs are aligned along their W</t>
  </si>
  <si>
    <t>Number of Packs along axis</t>
  </si>
  <si>
    <t>L-cont.</t>
  </si>
  <si>
    <t>W-cont</t>
  </si>
  <si>
    <t>H-cont</t>
  </si>
  <si>
    <t>from the wall and in the alley. Pack-L // Alley // Pac-L // Alley // Pack-L</t>
  </si>
  <si>
    <t>from the floor, then between layers</t>
  </si>
  <si>
    <t>Container Specs</t>
  </si>
  <si>
    <t>Packs nbr</t>
  </si>
  <si>
    <t>overhead for shelves</t>
  </si>
  <si>
    <t>Cost estimation</t>
  </si>
  <si>
    <t>Inverter</t>
  </si>
  <si>
    <t>$/pack</t>
  </si>
  <si>
    <t>Packs</t>
  </si>
  <si>
    <t>General Idea</t>
  </si>
  <si>
    <t>System</t>
  </si>
  <si>
    <t>Cost</t>
  </si>
  <si>
    <t>Casing</t>
  </si>
  <si>
    <t>TOTAL @Pack level</t>
  </si>
  <si>
    <t>other</t>
  </si>
  <si>
    <t>$/m3</t>
  </si>
  <si>
    <t>Dispatch</t>
  </si>
  <si>
    <t>Shelves, tubes</t>
  </si>
  <si>
    <t>AZA Battery - 20 ft Container Simulation</t>
  </si>
  <si>
    <r>
      <t>O</t>
    </r>
    <r>
      <rPr>
        <vertAlign val="subscript"/>
        <sz val="10"/>
        <rFont val="Arial"/>
        <family val="2"/>
      </rPr>
      <t>2</t>
    </r>
    <r>
      <rPr>
        <sz val="10"/>
        <rFont val="Arial"/>
        <family val="2"/>
        <charset val="1"/>
      </rPr>
      <t xml:space="preserve"> balloons</t>
    </r>
  </si>
  <si>
    <t>Nominal</t>
  </si>
  <si>
    <t>Energy Use</t>
  </si>
  <si>
    <t>Daily</t>
  </si>
  <si>
    <t>Full</t>
  </si>
  <si>
    <t>Peak</t>
  </si>
  <si>
    <t>PV Prod.</t>
  </si>
  <si>
    <t>Floor space occupied by the Oxygen balloons (1 m heigh) vs. PV area</t>
  </si>
  <si>
    <t>total</t>
  </si>
  <si>
    <t>per kWh</t>
  </si>
  <si>
    <t>Stabilized PV-Solar System</t>
  </si>
  <si>
    <t>1 MW load system</t>
  </si>
  <si>
    <t>Shelves, tubes (for the Battery)</t>
  </si>
  <si>
    <t>Oxygen
Ballons
O2 Volume</t>
  </si>
  <si>
    <t>Surface</t>
  </si>
  <si>
    <t>Simulation of Battery System for PV-Solar System</t>
  </si>
  <si>
    <t>AZA Battery - Standalone PV-Station</t>
  </si>
  <si>
    <r>
      <t>O</t>
    </r>
    <r>
      <rPr>
        <vertAlign val="subscript"/>
        <sz val="10"/>
        <rFont val="Arial"/>
        <family val="2"/>
      </rPr>
      <t>2</t>
    </r>
    <r>
      <rPr>
        <sz val="10"/>
        <rFont val="Arial"/>
        <family val="2"/>
        <charset val="1"/>
      </rPr>
      <t xml:space="preserve"> charge/discharge volume (@1bar)</t>
    </r>
  </si>
  <si>
    <r>
      <t>O</t>
    </r>
    <r>
      <rPr>
        <vertAlign val="subscript"/>
        <sz val="10"/>
        <rFont val="Arial"/>
        <family val="2"/>
      </rPr>
      <t>2</t>
    </r>
    <r>
      <rPr>
        <sz val="10"/>
        <rFont val="Arial"/>
        <family val="2"/>
        <charset val="1"/>
      </rPr>
      <t xml:space="preserve"> m3/kWh (@1bar)</t>
    </r>
  </si>
  <si>
    <t>NB: to increase reliability, the system would still work with 1 ballon less</t>
  </si>
  <si>
    <t>L-cont. axis</t>
  </si>
  <si>
    <t>W-cont axis</t>
  </si>
  <si>
    <t>H-cont axis</t>
  </si>
  <si>
    <t>from the wall and in the alley. Pack-L // Alley // 2 x (Pac-L on RAILS) // Alley // Pack-L</t>
  </si>
  <si>
    <t>NB: for BMS, inverter, etc.</t>
  </si>
  <si>
    <t>AZA Zinc-Air Battery System</t>
  </si>
  <si>
    <t>Cost*</t>
  </si>
  <si>
    <t>Lithium LFP</t>
  </si>
  <si>
    <r>
      <t>TOTAL @Container level</t>
    </r>
    <r>
      <rPr>
        <sz val="10"/>
        <rFont val="Arial"/>
        <family val="2"/>
      </rPr>
      <t xml:space="preserve"> (incl. inverter)</t>
    </r>
  </si>
  <si>
    <r>
      <t xml:space="preserve">TOTAL @Container level </t>
    </r>
    <r>
      <rPr>
        <sz val="10"/>
        <rFont val="Arial"/>
        <family val="2"/>
      </rPr>
      <t>(w/o inverter)</t>
    </r>
  </si>
  <si>
    <t>Equipt duration bef. Replacement</t>
  </si>
  <si>
    <t>Equipt Replacement Cost</t>
  </si>
  <si>
    <t>%/init</t>
  </si>
  <si>
    <t>BMZ2 / 28</t>
  </si>
  <si>
    <t>Ecomo</t>
  </si>
  <si>
    <t>CAPEX</t>
  </si>
  <si>
    <t>OPEX</t>
  </si>
  <si>
    <t>Region</t>
  </si>
  <si>
    <t>Germany, UK…</t>
  </si>
  <si>
    <t>PV panels costs</t>
  </si>
  <si>
    <t>staff &amp; local cost</t>
  </si>
  <si>
    <t>production period</t>
  </si>
  <si>
    <t>day</t>
  </si>
  <si>
    <t>share / CAPEX</t>
  </si>
  <si>
    <t>%/year</t>
  </si>
  <si>
    <t>Sun Radiation eq. peakPower</t>
  </si>
  <si>
    <t>% per year</t>
  </si>
  <si>
    <t>PV-Solar LCOE (non stabilized)</t>
  </si>
  <si>
    <t>* Weighted Average Cost of Capital</t>
  </si>
  <si>
    <t>Levelized Cost of Electricity – “Simplified” version</t>
  </si>
  <si>
    <t>WACC* nominal</t>
  </si>
  <si>
    <t>ResidualValue</t>
  </si>
  <si>
    <t>TOTAL</t>
  </si>
  <si>
    <t>Simplified LCOE Denominator</t>
  </si>
  <si>
    <t>Simplified LCOE Numerator</t>
  </si>
  <si>
    <t>Simplified LCOE (not stabilized)</t>
  </si>
  <si>
    <t>E/kWh</t>
  </si>
  <si>
    <r>
      <t>WACC real</t>
    </r>
    <r>
      <rPr>
        <sz val="10"/>
        <rFont val="Arial"/>
        <family val="2"/>
      </rPr>
      <t xml:space="preserve"> (inflation deducted)</t>
    </r>
  </si>
  <si>
    <t>Service Life</t>
  </si>
  <si>
    <t>Residual Value</t>
  </si>
  <si>
    <t>Extra Costs</t>
  </si>
  <si>
    <t>PV Performance Degradation</t>
  </si>
  <si>
    <t>Euros</t>
  </si>
  <si>
    <t>OPEX1 factor</t>
  </si>
  <si>
    <t>OPEX cumulated</t>
  </si>
  <si>
    <t>ENERGY factor</t>
  </si>
  <si>
    <t>*** Computation for a 1000 Whp system ***</t>
  </si>
  <si>
    <t>(average of Discounted Values)</t>
  </si>
  <si>
    <t xml:space="preserve"> &lt;= from sheet [PV-LCOE]</t>
  </si>
  <si>
    <t>minimal cost diminution or characteristics progress</t>
  </si>
  <si>
    <t>progression of yearly cost decrease</t>
  </si>
  <si>
    <t>$/kWp</t>
  </si>
  <si>
    <t>2020 est.</t>
  </si>
  <si>
    <t>PV Farm Costs estimation</t>
  </si>
  <si>
    <t>hours at MaxLoad eq.</t>
  </si>
  <si>
    <t>PV Production decrease</t>
  </si>
  <si>
    <t>on 20 years service life</t>
  </si>
  <si>
    <t>on service life</t>
  </si>
  <si>
    <t>Geographical Case</t>
  </si>
  <si>
    <r>
      <t>Factory Cost:</t>
    </r>
    <r>
      <rPr>
        <sz val="11"/>
        <color rgb="FF000000"/>
        <rFont val="Calibri"/>
        <family val="2"/>
      </rPr>
      <t xml:space="preserve"> Cells replacement cost</t>
    </r>
  </si>
  <si>
    <t>Inflation rate</t>
  </si>
  <si>
    <t>WACC nominal</t>
  </si>
  <si>
    <t>Financial parameters</t>
  </si>
  <si>
    <t>PROD sce life factor</t>
  </si>
  <si>
    <t>TOTAL Energy output on Service Life (GWh)</t>
  </si>
  <si>
    <r>
      <t>OPEX</t>
    </r>
    <r>
      <rPr>
        <i/>
        <vertAlign val="subscript"/>
        <sz val="11"/>
        <color rgb="FF000000"/>
        <rFont val="Calibri"/>
        <family val="2"/>
      </rPr>
      <t>1</t>
    </r>
    <r>
      <rPr>
        <i/>
        <sz val="11"/>
        <color rgb="FF000000"/>
        <rFont val="Calibri"/>
        <family val="2"/>
        <charset val="1"/>
      </rPr>
      <t xml:space="preserve"> sce life factor</t>
    </r>
  </si>
  <si>
    <t>Formula</t>
  </si>
  <si>
    <t>WACC real (after inflation)</t>
  </si>
  <si>
    <r>
      <t>SUM(1/(1+WACCreal)</t>
    </r>
    <r>
      <rPr>
        <vertAlign val="superscript"/>
        <sz val="9"/>
        <rFont val="Arial"/>
        <family val="2"/>
      </rPr>
      <t>^i</t>
    </r>
  </si>
  <si>
    <r>
      <t>SUM(((1-SDR)/(1+WACCreal))</t>
    </r>
    <r>
      <rPr>
        <vertAlign val="superscript"/>
        <sz val="9"/>
        <rFont val="Arial"/>
        <family val="2"/>
      </rPr>
      <t>^i</t>
    </r>
    <r>
      <rPr>
        <sz val="9"/>
        <rFont val="Arial"/>
        <family val="2"/>
      </rPr>
      <t>)</t>
    </r>
  </si>
  <si>
    <r>
      <t>CAPEX/Q</t>
    </r>
    <r>
      <rPr>
        <i/>
        <vertAlign val="subscript"/>
        <sz val="11"/>
        <color rgb="FF000000"/>
        <rFont val="Calibri"/>
        <family val="2"/>
      </rPr>
      <t>0</t>
    </r>
    <r>
      <rPr>
        <i/>
        <sz val="11"/>
        <color rgb="FF000000"/>
        <rFont val="Calibri"/>
        <family val="2"/>
        <charset val="1"/>
      </rPr>
      <t xml:space="preserve"> global coef</t>
    </r>
  </si>
  <si>
    <r>
      <t>OPEX/Q</t>
    </r>
    <r>
      <rPr>
        <i/>
        <vertAlign val="subscript"/>
        <sz val="11"/>
        <color rgb="FF000000"/>
        <rFont val="Calibri"/>
        <family val="2"/>
      </rPr>
      <t>0</t>
    </r>
    <r>
      <rPr>
        <i/>
        <sz val="11"/>
        <color rgb="FF000000"/>
        <rFont val="Calibri"/>
        <family val="2"/>
        <charset val="1"/>
      </rPr>
      <t xml:space="preserve"> global coef</t>
    </r>
  </si>
  <si>
    <t>CAPEX: Batteries</t>
  </si>
  <si>
    <t>CAPEX: PV panels</t>
  </si>
  <si>
    <t>OPEX: PV panels</t>
  </si>
  <si>
    <t>production remaining after 20 years</t>
  </si>
  <si>
    <t>yearly</t>
  </si>
  <si>
    <t>PhotoVoltaic System Degradation Rate (SDR)</t>
  </si>
  <si>
    <t>CAPEX: Inverter</t>
  </si>
  <si>
    <t>OPEX: Inverter</t>
  </si>
  <si>
    <t xml:space="preserve">  ↓   OPTIONS   ↓</t>
  </si>
  <si>
    <t xml:space="preserve"> SUM(  (1+i)^(n-1) / (1+WACCnom)^n )</t>
  </si>
  <si>
    <t>OPEX: Batteries</t>
  </si>
  <si>
    <t>PV output losses</t>
  </si>
  <si>
    <t>TCO Solar Farm-Containers</t>
  </si>
  <si>
    <t>PV-LCOE</t>
  </si>
  <si>
    <t>Sources &amp; Dependency Tree</t>
  </si>
  <si>
    <t>Container system</t>
  </si>
  <si>
    <t xml:space="preserve"> &lt;= Unit factor</t>
  </si>
  <si>
    <t>%/raw</t>
  </si>
  <si>
    <t>ANX Solar Irradiation</t>
  </si>
  <si>
    <t>Refs:</t>
  </si>
  <si>
    <t>Impact of weighted average cost of capital, capital expenditure, and other parameters on future utility‐scale PV levelised cost of electricity</t>
  </si>
  <si>
    <t>E U P V S E C P A P E R, Eero Vartiainen1 | Gaëtan Masson2 | Christian Breyer3 | David Moser4 | Eduardo Román Medina</t>
  </si>
  <si>
    <t>#PV01</t>
  </si>
  <si>
    <t>(#PV01) Utility‐scale PV LCOE in 2019 in Europe with 7% nominal weighted average cost of capital (WACC) ranges from 24 €/MWh in Malaga to 42 €/MWh in Helsinki.</t>
  </si>
  <si>
    <t>By 2030, PV LCOE will range from 14 €/MWh in Malaga to 24 €/MWh in Helsinki with 7% nominal WACC.</t>
  </si>
  <si>
    <t>since the 2019 utility‐scale PV CAPEX is around 0.45 - 0.65 $/Wp</t>
  </si>
  <si>
    <t>[#PV01] conversion efficiency is incresing 0.4%/year giving 17.2% in 2018 to 30% by 2050</t>
  </si>
  <si>
    <t>[#PV01] O&amp;M cost in Germany 7 €/kWp/a in 2017 =&gt; 2019: 5 €/kWp/a ?  1% of the CAPEX or 4.6 €/kWp/a.</t>
  </si>
  <si>
    <t>[#PV01] total : OPEX in 2019 is 9.2 €/Wp/a</t>
  </si>
  <si>
    <t>[#PV01] Perfomance Ratio 2019: 85%</t>
  </si>
  <si>
    <t>[#PV01] degradation: 2% the 1st year ; then 0.2-0.5%/year</t>
  </si>
  <si>
    <t>evaluation period</t>
  </si>
  <si>
    <t>[#PV01] usually kWh is 1-2 times kWp</t>
  </si>
  <si>
    <t xml:space="preserve">[#PV01] </t>
  </si>
  <si>
    <t>#PV02</t>
  </si>
  <si>
    <t>#PV03</t>
  </si>
  <si>
    <t>#PV04</t>
  </si>
  <si>
    <t>#PV05</t>
  </si>
  <si>
    <t>#PV06</t>
  </si>
  <si>
    <t>#PV07</t>
  </si>
  <si>
    <t>#PV08</t>
  </si>
  <si>
    <t>#PV09</t>
  </si>
  <si>
    <t>#PV10</t>
  </si>
  <si>
    <t>See. #PV03, #PV03</t>
  </si>
  <si>
    <t>[#PV05] The Real Lifespan of Solar Panels - Energy Informative</t>
  </si>
  <si>
    <t>[#PV06] What Is the Lifespan of a Solar Panel? &gt; ENGINEERING.com</t>
  </si>
  <si>
    <t>[#PV07] How Long Do Solar Panels Last in 2019? | EnergySage</t>
  </si>
  <si>
    <t xml:space="preserve"> solar panel degradation rate: 0.8% (0.3% - 1.2%)</t>
  </si>
  <si>
    <t>[#PV04] How long do solar panels last?</t>
  </si>
  <si>
    <t>[#PV08] When 1361 W/m2 is arriving above the atmosphere (when the sun is at the zenith in a cloudless sky), direct sun is about 1050 W/m2, and global radiation on a horizontal surface at ground level is about 1120 W/m2.</t>
  </si>
  <si>
    <t>[#PV09]  Photovoltaic Geographical Information System – PVGIS</t>
  </si>
  <si>
    <t>#PV09b</t>
  </si>
  <si>
    <t>ALL DATA IS AVAILABLE OPEN SOURCE [#PV09b]</t>
  </si>
  <si>
    <t>Vartiainen E, Masson G, Breyer C, Moser D, Román Medina E.
Impact of weighted average cost of capital, capital expenditure, and other parameters on future utility‐scale PV levelised cost of electricity.
Prog Photovolt Res Appl. 2019;1–15. https://doi.org/10.1002/pip.3189</t>
  </si>
  <si>
    <t xml:space="preserve">[#PV01] regular utility‐scale PV CAPEX of even below 0.50 $/Wp for utility‐scale PV power plants realised in 2019 </t>
  </si>
  <si>
    <t>including: PV modules, inverters, and other balance of system (BoS) components.</t>
  </si>
  <si>
    <t>CAPEX: BoS</t>
  </si>
  <si>
    <t>OPEX: BoS</t>
  </si>
  <si>
    <t>decrease/year, starting in 2019</t>
  </si>
  <si>
    <t>electricity cost sensitivity</t>
  </si>
  <si>
    <t xml:space="preserve">[#PV01] 0.021 to 0.029 €/Wp. Inverter price of 0.025 €/Wp is used here for the starting point in 2019 </t>
  </si>
  <si>
    <t>[#PV01] BoS : 0.113 €/Wp for FY 2018‐19 in India</t>
  </si>
  <si>
    <t>OPEX shall decrease by about 30% by 2030</t>
  </si>
  <si>
    <t>[#PV01] 10 - 15 yers service life</t>
  </si>
  <si>
    <t>Summary-SolarSystem</t>
  </si>
  <si>
    <t>Standalone-PV-Station-10kWh</t>
  </si>
  <si>
    <t>PV Stabilized LCOE evol</t>
  </si>
  <si>
    <t>Cells(P15:V22) "CAPEX ; OPEX ; Solar-Irradiation"</t>
  </si>
  <si>
    <t>TCO Solar Farm</t>
  </si>
  <si>
    <t>$/MWh</t>
  </si>
  <si>
    <r>
      <t xml:space="preserve">container </t>
    </r>
    <r>
      <rPr>
        <i/>
        <sz val="10"/>
        <rFont val="Arial"/>
        <family val="2"/>
      </rPr>
      <t>(not included)</t>
    </r>
  </si>
  <si>
    <t>decrease/year, starting in 2019 [#PV01]</t>
  </si>
  <si>
    <t>https://ec.europa.eu/jrc/en/PVGIS/downloads/NSRDB</t>
  </si>
  <si>
    <t>System density</t>
  </si>
  <si>
    <t>Container level:</t>
  </si>
  <si>
    <t>Energy volumetric density</t>
  </si>
  <si>
    <t>Load density</t>
  </si>
  <si>
    <t>Energy density  (gravimetric)</t>
  </si>
  <si>
    <t>Energy density  (volumetric)</t>
  </si>
  <si>
    <t>Wh/ltr</t>
  </si>
  <si>
    <t>volume</t>
  </si>
  <si>
    <t>Capacity installed (for optimal SceLife)</t>
  </si>
  <si>
    <t>system index</t>
  </si>
  <si>
    <t>Data from [TCO Solar Farm-Containers]</t>
  </si>
  <si>
    <t>CAPEX Farm (PV+Battery...)</t>
  </si>
  <si>
    <t>CAPEX TOTAL</t>
  </si>
  <si>
    <t>OPEX TOTAL</t>
  </si>
  <si>
    <t>TCO (20 years)</t>
  </si>
  <si>
    <r>
      <t xml:space="preserve"> &lt;= Electricity cost sensitivity</t>
    </r>
    <r>
      <rPr>
        <sz val="10"/>
        <rFont val="Arial"/>
        <family val="2"/>
      </rPr>
      <t xml:space="preserve"> ( / LCOE intermitent)</t>
    </r>
  </si>
  <si>
    <r>
      <t></t>
    </r>
    <r>
      <rPr>
        <sz val="10"/>
        <rFont val="Wingdings"/>
        <charset val="2"/>
      </rPr>
      <t></t>
    </r>
    <r>
      <rPr>
        <sz val="9"/>
        <rFont val="Arial"/>
        <family val="2"/>
        <charset val="1"/>
      </rPr>
      <t xml:space="preserve"> </t>
    </r>
    <r>
      <rPr>
        <sz val="10"/>
        <rFont val="Arial"/>
        <family val="2"/>
        <charset val="1"/>
      </rPr>
      <t>when intermitent electricity costs are low (right side), AZA stabilized electricity is much cheaper than Li-ion stabilized.</t>
    </r>
  </si>
  <si>
    <t>battery cost sensitivity</t>
  </si>
  <si>
    <t>INTERNAL-DOCUMENT =&gt; Select Sheets before diffusion</t>
  </si>
  <si>
    <t>containers (40 feet)</t>
  </si>
  <si>
    <t>Inverter Costs:</t>
  </si>
  <si>
    <t>Cost estimation of the battery system</t>
  </si>
  <si>
    <t>Row-21 "Battery Cost @cell level"</t>
  </si>
  <si>
    <t>Row-24 "Battery Cost @Container system lvl w/o inverter"</t>
  </si>
  <si>
    <t>(ground installation)</t>
  </si>
  <si>
    <t xml:space="preserve">Spain, Portugal, </t>
  </si>
  <si>
    <t>2020-01 estimation</t>
  </si>
  <si>
    <t>California</t>
  </si>
  <si>
    <t>Average prices in the year</t>
  </si>
  <si>
    <t>(coef multiple)</t>
  </si>
  <si>
    <t>Year Selection</t>
  </si>
  <si>
    <t>EUR2USD (avg on the year)</t>
  </si>
  <si>
    <t>EUR2USD yearly progress</t>
  </si>
  <si>
    <t>Var lower</t>
  </si>
  <si>
    <t>Var higher</t>
  </si>
  <si>
    <t>Inflation Rate</t>
  </si>
  <si>
    <t>options number</t>
  </si>
  <si>
    <t>current value</t>
  </si>
  <si>
    <t>Best Location 
(Chile, Emirates…)</t>
  </si>
  <si>
    <t>North Africa 
(Tanger, Rabat…)</t>
  </si>
  <si>
    <t>WACC real (inflation deducted)</t>
  </si>
  <si>
    <t>inch</t>
  </si>
  <si>
    <t>PV Service life</t>
  </si>
  <si>
    <t>Conversions</t>
  </si>
  <si>
    <t>Model Options</t>
  </si>
  <si>
    <t>Wind Resources</t>
  </si>
  <si>
    <t>#WND01</t>
  </si>
  <si>
    <t>#WND02</t>
  </si>
  <si>
    <t>#WND03</t>
  </si>
  <si>
    <t>#WND04</t>
  </si>
  <si>
    <t>#WND05</t>
  </si>
  <si>
    <t>PhotoVoltaic</t>
  </si>
  <si>
    <t>Cells service life</t>
  </si>
  <si>
    <t>Overall kWh-output cost</t>
  </si>
  <si>
    <t>$/kWh-out</t>
  </si>
  <si>
    <t>factor</t>
  </si>
  <si>
    <t>Li-ion 2020 performance</t>
  </si>
  <si>
    <t>nominal $/kWh</t>
  </si>
  <si>
    <t>nominal cycle #</t>
  </si>
  <si>
    <t>% on 20 years</t>
  </si>
  <si>
    <t>PV Performance Degradation 20y</t>
  </si>
  <si>
    <t>staff &amp; local cost
(E/Wp)</t>
  </si>
  <si>
    <t>PV Panel cost
(E/Wp)</t>
  </si>
  <si>
    <t>Regional parameters</t>
  </si>
  <si>
    <t>PV OPEX/CAPEX</t>
  </si>
  <si>
    <t>PV Sce life
(year)</t>
  </si>
  <si>
    <t>AZA ZAB performance</t>
  </si>
  <si>
    <t>Parameters subject to variations</t>
  </si>
  <si>
    <t>X</t>
  </si>
  <si>
    <t>F</t>
  </si>
  <si>
    <t>I</t>
  </si>
  <si>
    <t>L</t>
  </si>
  <si>
    <t>O</t>
  </si>
  <si>
    <t>AF</t>
  </si>
  <si>
    <t>AI</t>
  </si>
  <si>
    <t>Case Study</t>
  </si>
  <si>
    <t>Levelized Cost Of Intermitent Energy (LCOIE)</t>
  </si>
  <si>
    <t>($/MWh)</t>
  </si>
  <si>
    <t>Solar PV  LCOIE (Intermitent = Non Stabilized)</t>
  </si>
  <si>
    <t>Options &amp; Sensitivity params</t>
  </si>
  <si>
    <t>Estimated Cost not including Inverter</t>
  </si>
  <si>
    <t>Low</t>
  </si>
  <si>
    <t>High</t>
  </si>
  <si>
    <t>Competitivity (AZA vs. other chemistry)</t>
  </si>
  <si>
    <t>/</t>
  </si>
  <si>
    <t>Worst</t>
  </si>
  <si>
    <t>Best</t>
  </si>
  <si>
    <t>Variation Range</t>
  </si>
  <si>
    <t>LCOSE (Stabilized Electricity)</t>
  </si>
  <si>
    <t>AZA Battery Installation cost (Container level, $/kWh nominal capacity)</t>
  </si>
  <si>
    <t>13-Jul-2020 rev. m</t>
  </si>
  <si>
    <t>PV Balance of System (BoS*)</t>
  </si>
  <si>
    <t>AO</t>
  </si>
  <si>
    <t>Worst case</t>
  </si>
  <si>
    <t>Best case</t>
  </si>
  <si>
    <t>PV Balance of System</t>
  </si>
  <si>
    <t>15-Jul-2020 rev. b</t>
  </si>
  <si>
    <t>Li-ion cost efficiency evolution 2020 / 2030</t>
  </si>
  <si>
    <t>* in green are results already obtained in AZA Lab</t>
  </si>
  <si>
    <t>hypothesis</t>
  </si>
  <si>
    <t xml:space="preserve"> Li-ion vs AZA</t>
  </si>
  <si>
    <t xml:space="preserve"> &lt;= adjust to get suitable Service Life (row 44)</t>
  </si>
  <si>
    <t>BoS = costs project studies, system installation</t>
  </si>
  <si>
    <t>Further Improvements</t>
  </si>
  <si>
    <t xml:space="preserve"> - take into account AirConditioning (Equipt costs &amp; Electricity losses)</t>
  </si>
  <si>
    <t xml:space="preserve"> - consider the Delta between (PV-Production // User-Load) curves x Period of the year</t>
  </si>
  <si>
    <t xml:space="preserve"> - take into account the Insurance costs</t>
  </si>
  <si>
    <t>AZA Perfs (Costs &amp; SceLife)</t>
  </si>
  <si>
    <t>30-Jul-2020 rev. b</t>
  </si>
  <si>
    <t>(cost at cell level)</t>
  </si>
  <si>
    <t>PV+Inverter CAPEX [k$/kWpDC]</t>
  </si>
  <si>
    <t>PV+Inverter OPEX [k$/kWpDC (year1)]</t>
  </si>
  <si>
    <t>OPEX / CAPEX (year1)</t>
  </si>
  <si>
    <t>AZA 2022</t>
  </si>
  <si>
    <t>Li-ion 2022</t>
  </si>
  <si>
    <t>Battery CAPEX [k$/kWh_used year1]</t>
  </si>
  <si>
    <t>Direct load:</t>
  </si>
  <si>
    <t>over dimensioned battery system</t>
  </si>
  <si>
    <t xml:space="preserve"> =&gt;</t>
  </si>
  <si>
    <t>max</t>
  </si>
  <si>
    <t>w/o cont. inv.</t>
  </si>
  <si>
    <t>kg/kWh</t>
  </si>
  <si>
    <t>NOTES:</t>
  </si>
  <si>
    <t>RTE at system level  50% ; at battery level 55%</t>
  </si>
  <si>
    <t>2028 10MWh 10 YEAR SYSTEM</t>
  </si>
  <si>
    <t>pack level RTE</t>
  </si>
  <si>
    <t>cycles at 100% DOD</t>
  </si>
  <si>
    <t>pack replacement cost</t>
  </si>
  <si>
    <t>AZA CyclesNbr</t>
  </si>
  <si>
    <t>years pack life at 100% depth of discharge</t>
  </si>
  <si>
    <t>Container System</t>
  </si>
  <si>
    <t>from sheet:</t>
  </si>
  <si>
    <t>build racks/ container structure (one time setup)</t>
  </si>
  <si>
    <t>cell edition</t>
  </si>
  <si>
    <t>From sheets</t>
  </si>
  <si>
    <t>AZA MODEL FOR 10MWh STORAGE SYSTEM</t>
  </si>
  <si>
    <t xml:space="preserve"> &lt;=</t>
  </si>
  <si>
    <t>$/kWh @Cells level</t>
  </si>
  <si>
    <t>energy density @PackLevel (Wh/dm3)</t>
  </si>
  <si>
    <t>Round Trip Efficiency:</t>
  </si>
  <si>
    <t>c</t>
  </si>
  <si>
    <t>UPS vs Solar Farms</t>
  </si>
  <si>
    <t>Solar Farm (1 cycle/day)</t>
  </si>
  <si>
    <t>UPS (30 cycles/year)</t>
  </si>
  <si>
    <t>PVF</t>
  </si>
  <si>
    <t>UPS</t>
  </si>
  <si>
    <t>pack overhead on top of cell level</t>
  </si>
  <si>
    <t>units / pack for PV-Farm</t>
  </si>
  <si>
    <t>units / pack for UPS</t>
  </si>
  <si>
    <t>mm for PV-Farm</t>
  </si>
  <si>
    <t>mm for UPS</t>
  </si>
  <si>
    <t>current index</t>
  </si>
  <si>
    <t>PV / UPS</t>
  </si>
  <si>
    <t>packs</t>
  </si>
  <si>
    <t xml:space="preserve"> 20 feet container max payload is 25 tons</t>
  </si>
  <si>
    <t>inverters cost</t>
  </si>
  <si>
    <t>prepared by Justin Szlasa js@azabattery.com 18 December, 2020</t>
  </si>
  <si>
    <t xml:space="preserve"> AZA BATTERY PERFORMANCE DETAIL</t>
  </si>
  <si>
    <t>AZA SD</t>
  </si>
  <si>
    <t>the cost of battery packs + racks, container, BMS, BOS, electronics connections</t>
  </si>
  <si>
    <t>CAPEX, initial setup</t>
  </si>
  <si>
    <t>CAPEX, inverter</t>
  </si>
  <si>
    <t>CAPEX, pack replacement</t>
  </si>
  <si>
    <t>approximate cell capacity degradation</t>
  </si>
  <si>
    <t>TOTAL YEARLY COSTS</t>
  </si>
  <si>
    <t>% of initial capex</t>
  </si>
  <si>
    <t>cell level factory cost</t>
  </si>
  <si>
    <t>($/kWh)</t>
  </si>
  <si>
    <t>(kg)</t>
  </si>
  <si>
    <t>(years)</t>
  </si>
  <si>
    <t>(%/year)</t>
  </si>
  <si>
    <t>(MWh)</t>
  </si>
  <si>
    <t>(hour)</t>
  </si>
  <si>
    <t>(MW)</t>
  </si>
  <si>
    <t>Target Capacity</t>
  </si>
  <si>
    <t>cost of initial deployment (pack + rack + container)</t>
  </si>
  <si>
    <t>12 cell pack Capacity</t>
  </si>
  <si>
    <t>Pack Weight</t>
  </si>
  <si>
    <t>Yearly Capacity Degradation</t>
  </si>
  <si>
    <t xml:space="preserve">Capacity Degradation at End of Service Life </t>
  </si>
  <si>
    <t>Nominal Discharge rate</t>
  </si>
  <si>
    <t>energy density @PackLevel</t>
  </si>
  <si>
    <t>(Wh/kg)</t>
  </si>
  <si>
    <r>
      <t>RTE</t>
    </r>
    <r>
      <rPr>
        <sz val="12"/>
        <color theme="1"/>
        <rFont val="Calibri"/>
        <family val="2"/>
        <scheme val="minor"/>
      </rPr>
      <t xml:space="preserve"> (Pack Level)</t>
    </r>
  </si>
  <si>
    <t>PV / UPS =&gt;</t>
  </si>
  <si>
    <t>(Wh)</t>
  </si>
  <si>
    <t>setup cost</t>
  </si>
  <si>
    <t>Pack Level Cost ($/kWh)</t>
  </si>
  <si>
    <t>TOTAL FOR 10 YEARS</t>
  </si>
  <si>
    <t>3. System operating temperature range 5 - 45 degrees C with fan or heating element only - no liquid cooling or AC</t>
  </si>
  <si>
    <t>Degradation -30% in Sce Life</t>
  </si>
  <si>
    <t>PV-Farm / High Cycle nbr:</t>
  </si>
  <si>
    <t>UPS / Reduced cycle nbr:</t>
  </si>
  <si>
    <t>cost of High-Density cell vs PV-Farm</t>
  </si>
  <si>
    <t>$/Wh cost delta of High-Density cell vs UPS cell</t>
  </si>
  <si>
    <t>02-Jan-2021 rev. a</t>
  </si>
  <si>
    <t>PV-Farm</t>
  </si>
  <si>
    <t xml:space="preserve"> &lt;= (more zinc + deeper charge =&gt; thicker cells)</t>
  </si>
  <si>
    <t>Tabs used:</t>
  </si>
  <si>
    <t>AZA Cycles Nbr</t>
  </si>
  <si>
    <t>Cells Cost</t>
  </si>
  <si>
    <t>$/kg (cell level)</t>
  </si>
  <si>
    <t>rough computation of lowest BOM per kg:</t>
  </si>
  <si>
    <t>@Pack level</t>
  </si>
  <si>
    <t>Ah/mol</t>
  </si>
  <si>
    <t>Air consumption</t>
  </si>
  <si>
    <r>
      <t>O</t>
    </r>
    <r>
      <rPr>
        <vertAlign val="subscript"/>
        <sz val="10"/>
        <color theme="9" tint="-0.499984740745262"/>
        <rFont val="Arial"/>
        <family val="2"/>
        <charset val="1"/>
      </rPr>
      <t>2</t>
    </r>
    <r>
      <rPr>
        <sz val="10"/>
        <color theme="9" tint="-0.499984740745262"/>
        <rFont val="Arial"/>
        <family val="2"/>
        <charset val="1"/>
      </rPr>
      <t xml:space="preserve"> m</t>
    </r>
    <r>
      <rPr>
        <vertAlign val="superscript"/>
        <sz val="10"/>
        <color theme="9" tint="-0.499984740745262"/>
        <rFont val="Arial"/>
        <family val="2"/>
      </rPr>
      <t>3</t>
    </r>
    <r>
      <rPr>
        <sz val="10"/>
        <color theme="9" tint="-0.499984740745262"/>
        <rFont val="Arial"/>
        <family val="2"/>
        <charset val="1"/>
      </rPr>
      <t xml:space="preserve"> / kWh (@1bar)</t>
    </r>
  </si>
  <si>
    <t>Panel specs</t>
  </si>
  <si>
    <t>Panels</t>
  </si>
  <si>
    <t>Target Battery usage</t>
  </si>
  <si>
    <t>Battery nominal capacity needed</t>
  </si>
  <si>
    <t>Target full load power</t>
  </si>
  <si>
    <t>battery coef vs sample case above</t>
  </si>
  <si>
    <t>03-Jan-2021 rev. b</t>
  </si>
  <si>
    <t>TOTAL @sys level, inverter incl.</t>
  </si>
  <si>
    <t>kWh/m2</t>
  </si>
  <si>
    <t>hours max sustained discharge</t>
  </si>
  <si>
    <t>Air filtration system</t>
  </si>
  <si>
    <t>UPS Low cycles 20 feet container</t>
  </si>
  <si>
    <t>PV-Solar High Cycles 40 feet</t>
  </si>
  <si>
    <t>Nominal Sustained Power</t>
  </si>
  <si>
    <t>1. C/6 is the battery nominal discharge rate (however they could support up to C/4)</t>
  </si>
  <si>
    <t>2. OPEX is based on estimates in western Europe/USA</t>
  </si>
  <si>
    <t>Battery Management System (BMS) Costs:  (Li-ion)</t>
  </si>
  <si>
    <t>decrease/year</t>
  </si>
  <si>
    <t>[DG : 75% of AliExpress Daly BMS]</t>
  </si>
  <si>
    <t>Nominal Discharge Rate</t>
  </si>
  <si>
    <t>h for UPS</t>
  </si>
  <si>
    <t>h for PV-Farm</t>
  </si>
  <si>
    <t>Nominal Power</t>
  </si>
  <si>
    <t>W</t>
  </si>
  <si>
    <t>$/12cells</t>
  </si>
  <si>
    <t>Other cables, etc.</t>
  </si>
  <si>
    <t>Manufacturing</t>
  </si>
  <si>
    <t>BMS electronics</t>
  </si>
  <si>
    <t>Balance of System: cables, switches…</t>
  </si>
  <si>
    <t>Battery Packs (incl. BMS)</t>
  </si>
  <si>
    <t>decrease/year, starting in 2019 [AZA]</t>
  </si>
  <si>
    <t>PV BoS Costs:</t>
  </si>
  <si>
    <t>Estimated Cost including Inverter</t>
  </si>
  <si>
    <t>overhead vs pure cells replacement</t>
  </si>
  <si>
    <t>replacement</t>
  </si>
  <si>
    <t>Battery system (incl. BMS)</t>
  </si>
  <si>
    <t>Battery Packs (Cells)</t>
  </si>
  <si>
    <t>PhotoVoltaic Syst. Degradation Rate (SDR)</t>
  </si>
  <si>
    <t>Lev. Cost of AZA ZAB Stabilized Electricity  $/kWh</t>
  </si>
  <si>
    <t>Use Case</t>
  </si>
  <si>
    <t>Should be set on "SOLAR FARM"</t>
  </si>
  <si>
    <t>Batt. Stabilized</t>
  </si>
  <si>
    <t xml:space="preserve"> &lt;&lt; Should be set on "SOLAR FARM"</t>
  </si>
  <si>
    <t>coef / [Standalone PV-Station] sheet</t>
  </si>
  <si>
    <t>to optimize service life</t>
  </si>
  <si>
    <t>Li-ion (LiFePO4)</t>
  </si>
  <si>
    <t>and AZA batteries offer storage costs from 25% to 40% cheaper than Li-ion</t>
  </si>
  <si>
    <t>Battery parameters</t>
  </si>
  <si>
    <t>NB: if “hours at max load equiv.” are too low… then batteries are not needed (PV is sufficient) thus Capex appear negative.</t>
  </si>
  <si>
    <t>decrease/year, starting in :</t>
  </si>
  <si>
    <t>Continuous Max Discharge Rate</t>
  </si>
  <si>
    <t>Peak Discharge Rate Allowance  (15s)</t>
  </si>
  <si>
    <t>Cost overhead System level vs. Cells level</t>
  </si>
  <si>
    <t>unknown</t>
  </si>
  <si>
    <t>Max Load (also "Full load")</t>
  </si>
  <si>
    <t>Energy need for recharging (after RTE losses)</t>
  </si>
  <si>
    <t>Aging correction because of Climate</t>
  </si>
  <si>
    <t>** % of Capex needed as Opex for maintenance each year</t>
  </si>
  <si>
    <t>per year **</t>
  </si>
  <si>
    <t>*BoS includes, eg, mounting structures, cabling, transformers, and other electrical components, grid connection, infrastructure, installation work, planning, documentation, and other work, ie, everything else except for the PV modules.</t>
  </si>
  <si>
    <t>share of stabilization costs / LCOSE</t>
  </si>
  <si>
    <t>front space reserved</t>
  </si>
  <si>
    <t xml:space="preserve"> &lt;= Scale-effect on costs of 40 feet versus 20 feet containers</t>
  </si>
  <si>
    <t>Capacity Cost at Container Level in different configurations</t>
  </si>
  <si>
    <t>Pack casing internal overhead space</t>
  </si>
  <si>
    <t>PV Efficiency</t>
  </si>
  <si>
    <t>Floor surface required</t>
  </si>
  <si>
    <t xml:space="preserve"> &lt;= depends on the period of the year if high latitude level.</t>
  </si>
  <si>
    <t>*Wh/kg at Cell Level</t>
  </si>
  <si>
    <t>Expectations as of 05-Jan-2021</t>
  </si>
  <si>
    <t>€/Wp/year</t>
  </si>
  <si>
    <t>€/kWp/year</t>
  </si>
  <si>
    <t>€/Wp</t>
  </si>
  <si>
    <t>€/Wp #PV01 lowest price 0.25$/Wp)</t>
  </si>
  <si>
    <t xml:space="preserve"> &lt;= CONTROL (around 10 €/kWp / year)</t>
  </si>
  <si>
    <t>kWh/year / Wp</t>
  </si>
  <si>
    <t>EUR2USD in 2020</t>
  </si>
  <si>
    <t>Levelized Cost Of Energy (incl. Fin.)</t>
  </si>
  <si>
    <t>Battery Max Sustained Power</t>
  </si>
  <si>
    <t>System Nominal Power (daily usage)</t>
  </si>
  <si>
    <r>
      <t>Factory Cost:</t>
    </r>
    <r>
      <rPr>
        <b/>
        <sz val="10"/>
        <color rgb="FF000000"/>
        <rFont val="Calibri"/>
        <family val="2"/>
      </rPr>
      <t xml:space="preserve"> </t>
    </r>
    <r>
      <rPr>
        <sz val="10"/>
        <color rgb="FF000000"/>
        <rFont val="Calibri"/>
        <family val="2"/>
      </rPr>
      <t>container level HVAC, w/o inverter</t>
    </r>
  </si>
  <si>
    <t>HVAC : Heat &amp; Air-Cond. are not required for AZA</t>
  </si>
  <si>
    <t>HVAC: Ventilation (10 years sce life)</t>
  </si>
  <si>
    <r>
      <t>* installation cost including Containers (incl. Battery Packs + BMS + Inverter +HVAC) + O</t>
    </r>
    <r>
      <rPr>
        <vertAlign val="subscript"/>
        <sz val="10"/>
        <rFont val="Arial"/>
        <family val="2"/>
      </rPr>
      <t>2</t>
    </r>
    <r>
      <rPr>
        <sz val="10"/>
        <rFont val="Arial"/>
        <family val="2"/>
        <charset val="1"/>
      </rPr>
      <t xml:space="preserve"> balloons</t>
    </r>
  </si>
  <si>
    <t>06-Jan-2021 rev. b</t>
  </si>
  <si>
    <t>Peak Pwr</t>
  </si>
  <si>
    <t>HVAC losses</t>
  </si>
  <si>
    <t>Hypothesis: UseCase Requirements</t>
  </si>
  <si>
    <t>Continous supply duration</t>
  </si>
  <si>
    <t>TOTAL energy to be supplied</t>
  </si>
  <si>
    <t>cycles per year</t>
  </si>
  <si>
    <t>Hypothesis: external parameters</t>
  </si>
  <si>
    <t>High-Density</t>
  </si>
  <si>
    <t>Deep-Discharge</t>
  </si>
  <si>
    <t>TCO over 20 years</t>
  </si>
  <si>
    <t>Footprint</t>
  </si>
  <si>
    <t>/year</t>
  </si>
  <si>
    <t>AZA Battery - DataCenter Use-Case</t>
  </si>
  <si>
    <t>Service life before recycling</t>
  </si>
  <si>
    <t>Installation Year:</t>
  </si>
  <si>
    <t>cost decrease per year</t>
  </si>
  <si>
    <t>CapEx</t>
  </si>
  <si>
    <t>OpEx</t>
  </si>
  <si>
    <t>Electricity R/T Efficiency</t>
  </si>
  <si>
    <t>overall</t>
  </si>
  <si>
    <t>Cells level</t>
  </si>
  <si>
    <t>Inverter + Other electronics losses</t>
  </si>
  <si>
    <t>Air conditioning losses</t>
  </si>
  <si>
    <t>BMS losses (during charging &amp; discharging)</t>
  </si>
  <si>
    <t>Total Footprint</t>
  </si>
  <si>
    <t>High density cells:</t>
  </si>
  <si>
    <t>Installed Capacity</t>
  </si>
  <si>
    <r>
      <t>Practical Capacity</t>
    </r>
    <r>
      <rPr>
        <i/>
        <sz val="9"/>
        <rFont val="Arial"/>
        <family val="2"/>
      </rPr>
      <t xml:space="preserve"> (available DOD)</t>
    </r>
  </si>
  <si>
    <t>Nominal Capacity</t>
  </si>
  <si>
    <t>Total Weight</t>
  </si>
  <si>
    <t>m2 / container</t>
  </si>
  <si>
    <t>Container Level</t>
  </si>
  <si>
    <t>System Level</t>
  </si>
  <si>
    <t>Container's battery payload</t>
  </si>
  <si>
    <t>volumetric</t>
  </si>
  <si>
    <t>Cell's density</t>
  </si>
  <si>
    <t>Battery Cost</t>
  </si>
  <si>
    <r>
      <t xml:space="preserve">Lead-Acid
</t>
    </r>
    <r>
      <rPr>
        <sz val="10"/>
        <rFont val="Arial"/>
        <family val="2"/>
      </rPr>
      <t>(Deep-discharge)</t>
    </r>
  </si>
  <si>
    <t>gravimetric</t>
  </si>
  <si>
    <t>overhead vs cells</t>
  </si>
  <si>
    <t>Pack's density</t>
  </si>
  <si>
    <t>20 ft container LiFePO4</t>
  </si>
  <si>
    <t>Battery Packs Weight</t>
  </si>
  <si>
    <t>Cells cost</t>
  </si>
  <si>
    <t>Battery packs cost</t>
  </si>
  <si>
    <t>Project duration:</t>
  </si>
  <si>
    <t>cont.</t>
  </si>
  <si>
    <t>Summary</t>
  </si>
  <si>
    <t>Inverters cost</t>
  </si>
  <si>
    <r>
      <t>Battery renewal cost</t>
    </r>
    <r>
      <rPr>
        <sz val="10"/>
        <rFont val="Arial"/>
        <family val="2"/>
      </rPr>
      <t xml:space="preserve"> </t>
    </r>
    <r>
      <rPr>
        <sz val="9"/>
        <rFont val="Arial"/>
        <family val="2"/>
      </rPr>
      <t>(pro-rata project period)</t>
    </r>
  </si>
  <si>
    <t>&lt;= pro-rata temporis cost of renewing batteries to complete the 20 years period.</t>
  </si>
  <si>
    <t>&lt;= global coefficient taking into account costs decrease and renewal frequency</t>
  </si>
  <si>
    <t>&lt;= capacity to be able to supply the required energy at a correct DOD at the end of service</t>
  </si>
  <si>
    <t>&lt;= for all chemistries a faster rate would lower the energy density</t>
  </si>
  <si>
    <t>&lt;= including BMS, cells cables, casing or racks</t>
  </si>
  <si>
    <t>as a percentage of the cells cost evolution</t>
  </si>
  <si>
    <t>&lt;= second hand usage or recycling value of the cells (in % of the Cells cost)</t>
  </si>
  <si>
    <t>&lt;= % of nominal capacity available for discharge without degrading the cells</t>
  </si>
  <si>
    <t>of Cells ED</t>
  </si>
  <si>
    <t>hours max nominal Rate</t>
  </si>
  <si>
    <t>Cost of external Electricity:</t>
  </si>
  <si>
    <t>&lt;= not taken into acount</t>
  </si>
  <si>
    <t>***Cost of Credit (net WACC):</t>
  </si>
  <si>
    <t>End of Service final value</t>
  </si>
  <si>
    <t>Cells cost equiv. for renewal over project period</t>
  </si>
  <si>
    <t>20 ft container AZA-Zinc-Air</t>
  </si>
  <si>
    <t>20 ft container Lead-acid DeepDisch.</t>
  </si>
  <si>
    <r>
      <t>Wh/dm</t>
    </r>
    <r>
      <rPr>
        <vertAlign val="superscript"/>
        <sz val="10"/>
        <rFont val="Arial"/>
        <family val="2"/>
      </rPr>
      <t>3</t>
    </r>
  </si>
  <si>
    <r>
      <t>kg/dm</t>
    </r>
    <r>
      <rPr>
        <vertAlign val="superscript"/>
        <sz val="10"/>
        <rFont val="Arial"/>
        <family val="2"/>
      </rPr>
      <t>3</t>
    </r>
  </si>
  <si>
    <r>
      <t>m</t>
    </r>
    <r>
      <rPr>
        <vertAlign val="superscript"/>
        <sz val="10"/>
        <rFont val="Arial"/>
        <family val="2"/>
      </rPr>
      <t>2</t>
    </r>
  </si>
  <si>
    <r>
      <t>LiFePO</t>
    </r>
    <r>
      <rPr>
        <vertAlign val="subscript"/>
        <sz val="9"/>
        <rFont val="Arial"/>
        <family val="2"/>
        <charset val="1"/>
      </rPr>
      <t>4</t>
    </r>
  </si>
  <si>
    <t>Capacity remaining at end of service life</t>
  </si>
  <si>
    <t xml:space="preserve"> -&gt; cycles nbr operated at end of sce life</t>
  </si>
  <si>
    <t>Nominal Cells discharge rate (for information only)</t>
  </si>
  <si>
    <t>***in this version the financial costs of credit and inflation have not been taken into account.
A classical 2-5% of WACC would improve the competitivity of low CapEx solutions and hamper Li-ion solution.</t>
  </si>
  <si>
    <t>as percentage of CapEx</t>
  </si>
  <si>
    <t>System maintainance over project period</t>
  </si>
  <si>
    <t>full cycles equiv. per month</t>
  </si>
  <si>
    <t>Electricity losses over cycles</t>
  </si>
  <si>
    <t>Electricity cost of losses during 1 full cycle</t>
  </si>
  <si>
    <t>'project</t>
  </si>
  <si>
    <t>yearly fees</t>
  </si>
  <si>
    <t>&lt;= purchased at lowest cost periods</t>
  </si>
  <si>
    <t>&lt;= CHECK SELECT "UPS 30 cycles/year"</t>
  </si>
  <si>
    <r>
      <t xml:space="preserve"> Cost @T</t>
    </r>
    <r>
      <rPr>
        <b/>
        <i/>
        <vertAlign val="subscript"/>
        <sz val="10"/>
        <rFont val="Arial"/>
        <family val="2"/>
      </rPr>
      <t>0</t>
    </r>
  </si>
  <si>
    <t>&lt;= 20 foot containers have 25 tons max payload but offer the highest energy density</t>
  </si>
  <si>
    <t>Container costs</t>
  </si>
  <si>
    <t>Containers (20 foot)</t>
  </si>
  <si>
    <t>Insurance</t>
  </si>
  <si>
    <t>Cell Level</t>
  </si>
  <si>
    <t>Pack Level</t>
  </si>
  <si>
    <t>Datacenter Cases</t>
  </si>
  <si>
    <t>years : let's consider that after that period we don't know if battery costs can still diminish…</t>
  </si>
  <si>
    <t>28-Jan-2021 rev. a</t>
  </si>
  <si>
    <r>
      <t>m</t>
    </r>
    <r>
      <rPr>
        <vertAlign val="superscript"/>
        <sz val="10"/>
        <rFont val="Arial"/>
        <family val="2"/>
      </rPr>
      <t>2</t>
    </r>
    <r>
      <rPr>
        <sz val="10"/>
        <rFont val="Arial"/>
        <family val="2"/>
      </rPr>
      <t>/MWh</t>
    </r>
  </si>
  <si>
    <t>ton/MWh</t>
  </si>
  <si>
    <t>CAPEX installation</t>
  </si>
  <si>
    <t xml:space="preserve">Battery renewal </t>
  </si>
  <si>
    <r>
      <t xml:space="preserve"> Cost @T</t>
    </r>
    <r>
      <rPr>
        <b/>
        <i/>
        <vertAlign val="subscript"/>
        <sz val="10"/>
        <rFont val="Arial"/>
        <family val="2"/>
      </rPr>
      <t>0</t>
    </r>
    <r>
      <rPr>
        <b/>
        <i/>
        <sz val="10"/>
        <rFont val="Arial"/>
        <family val="2"/>
      </rPr>
      <t xml:space="preserve"> / year</t>
    </r>
  </si>
  <si>
    <t>cycles @100%DOD of Energy Density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</si>
</sst>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0">
    <numFmt numFmtId="164" formatCode="&quot;$&quot;#,##0_);[Red]\(&quot;$&quot;#,##0\)"/>
    <numFmt numFmtId="165" formatCode="_(&quot;$&quot;* #,##0.00_);_(&quot;$&quot;* \(#,##0.00\);_(&quot;$&quot;* &quot;-&quot;??_);_(@_)"/>
    <numFmt numFmtId="166" formatCode="_(* #,##0.00_);_(* \(#,##0.00\);_(* &quot;-&quot;??_);_(@_)"/>
    <numFmt numFmtId="167" formatCode="[$$-409]#,##0.000;[Red]\-[$$-409]#,##0.000"/>
    <numFmt numFmtId="168" formatCode="0.0%"/>
    <numFmt numFmtId="169" formatCode="[$$-409]#,##0;[Red]\-[$$-409]#,##0"/>
    <numFmt numFmtId="170" formatCode="#,##0&quot; Wh/kg&quot;"/>
    <numFmt numFmtId="171" formatCode="[$$]#,##0.00;[Red]\-[$$]#,##0.00"/>
    <numFmt numFmtId="172" formatCode="0.0"/>
    <numFmt numFmtId="173" formatCode="[$$-409]#,##0.00;[Red]\-[$$-409]#,##0.00"/>
    <numFmt numFmtId="174" formatCode="0.000"/>
    <numFmt numFmtId="175" formatCode="#,##0.0"/>
    <numFmt numFmtId="176" formatCode="0&quot; years&quot;"/>
    <numFmt numFmtId="177" formatCode="\+0%"/>
    <numFmt numFmtId="178" formatCode="0&quot; cy.&quot;"/>
    <numFmt numFmtId="179" formatCode="0.0&quot; year&quot;"/>
    <numFmt numFmtId="180" formatCode="0&quot; year&quot;"/>
    <numFmt numFmtId="181" formatCode="&quot;C/&quot;0"/>
    <numFmt numFmtId="182" formatCode="[$$]#,##0.000"/>
    <numFmt numFmtId="183" formatCode="0&quot; cycles @100 Wh/kg&quot;"/>
    <numFmt numFmtId="184" formatCode="0&quot; cycles&quot;"/>
    <numFmt numFmtId="185" formatCode="#,##0&quot; MWh&quot;"/>
    <numFmt numFmtId="186" formatCode="#,##0&quot; ton&quot;"/>
    <numFmt numFmtId="187" formatCode="&quot;k&quot;[$$-409]&quot; &quot;#,##0;[Red][$$-409]#,##0"/>
    <numFmt numFmtId="188" formatCode="#,##0&quot; m3&quot;"/>
    <numFmt numFmtId="189" formatCode="0.000E+00"/>
    <numFmt numFmtId="190" formatCode="\ * #,##0.00\ ;\-* #,##0.00\ ;\ * \-#\ ;\ @\ "/>
    <numFmt numFmtId="191" formatCode="&quot; $&quot;* #,##0.00\ ;&quot; $&quot;* \(#,##0.00\);&quot; $&quot;* \-#\ ;\ @\ "/>
    <numFmt numFmtId="192" formatCode="0&quot; m3&quot;"/>
    <numFmt numFmtId="193" formatCode="0.0&quot; kW&quot;"/>
    <numFmt numFmtId="194" formatCode="0&quot; kW&quot;"/>
    <numFmt numFmtId="195" formatCode="0.0&quot; m3&quot;"/>
    <numFmt numFmtId="196" formatCode="0&quot; $/kWh&quot;"/>
    <numFmt numFmtId="197" formatCode="#,##0&quot; kWh&quot;"/>
    <numFmt numFmtId="198" formatCode="#,##0&quot; kW&quot;"/>
    <numFmt numFmtId="199" formatCode="dd/mmm/yyyy"/>
    <numFmt numFmtId="200" formatCode="\(@\)"/>
    <numFmt numFmtId="201" formatCode="0%&quot;/year&quot;"/>
    <numFmt numFmtId="202" formatCode="_(* #,##0.0_);_(* \(#,##0.0\);_(* &quot;-&quot;??_);_(@_)"/>
    <numFmt numFmtId="203" formatCode="0&quot; day/year&quot;"/>
    <numFmt numFmtId="204" formatCode="&quot;[&quot;@&quot;]&quot;"/>
    <numFmt numFmtId="205" formatCode="&quot;(&quot;@&quot;)&quot;"/>
    <numFmt numFmtId="206" formatCode="#,##0&quot; Wh/dm3&quot;"/>
    <numFmt numFmtId="207" formatCode="#0.000&quot; $/kWh&quot;"/>
    <numFmt numFmtId="208" formatCode="0&quot;$ (container level)&quot;"/>
    <numFmt numFmtId="209" formatCode="#,##0&quot; cycles&quot;"/>
    <numFmt numFmtId="210" formatCode="_(* #,##0_);_(* \(#,##0\);_(* &quot;-&quot;??_);_(@_)"/>
    <numFmt numFmtId="211" formatCode="&quot;+&quot;0%"/>
    <numFmt numFmtId="212" formatCode="0%&quot; / year&quot;"/>
    <numFmt numFmtId="213" formatCode="&quot;+&quot;0%&quot; / year&quot;"/>
    <numFmt numFmtId="214" formatCode="#0&quot; $/kWp&quot;"/>
    <numFmt numFmtId="215" formatCode="#,##0&quot; m2&quot;"/>
    <numFmt numFmtId="216" formatCode="#,##0&quot; k$&quot;"/>
    <numFmt numFmtId="217" formatCode="#,##0&quot; MWh system&quot;"/>
    <numFmt numFmtId="218" formatCode="&quot;$&quot;#,##0.0_);[Red]\(&quot;$&quot;#,##0.0\)"/>
    <numFmt numFmtId="219" formatCode="##0&quot; Wh/kg&quot;"/>
    <numFmt numFmtId="220" formatCode="_([$$-409]* #,##0.00_);_([$$-409]* \(#,##0.00\);_([$$-409]* &quot;-&quot;??_);_(@_)"/>
    <numFmt numFmtId="221" formatCode="##0.00&quot; $/kg&quot;"/>
    <numFmt numFmtId="222" formatCode="#\ ##0"/>
    <numFmt numFmtId="223" formatCode="0.0;0.0;&quot;N/A&quot;"/>
    <numFmt numFmtId="224" formatCode="0.00&quot; m3&quot;"/>
    <numFmt numFmtId="225" formatCode="#,##0.0&quot; m3&quot;"/>
    <numFmt numFmtId="226" formatCode="#,##0.0&quot; k$&quot;"/>
    <numFmt numFmtId="227" formatCode="0.00;0.00;&quot;N/A&quot;"/>
    <numFmt numFmtId="228" formatCode="#0&quot; $/kWh&quot;"/>
    <numFmt numFmtId="229" formatCode="&quot;k$ &quot;#\ ##0"/>
    <numFmt numFmtId="230" formatCode="_(&quot;$&quot;* #,##0_);_(&quot;$&quot;* \(#,##0\);_(&quot;$&quot;* &quot;-&quot;??_);_(@_)"/>
    <numFmt numFmtId="231" formatCode="_(&quot;$&quot;* #,##0_);_(&quot;$&quot;* \(#,##0\)"/>
    <numFmt numFmtId="232" formatCode="#0&quot; $/MWh&quot;"/>
    <numFmt numFmtId="233" formatCode="#\ ##0&quot; $/MWh&quot;"/>
  </numFmts>
  <fonts count="257">
    <font>
      <sz val="10"/>
      <name val="Arial"/>
      <family val="2"/>
      <charset val="1"/>
    </font>
    <font>
      <sz val="12"/>
      <color theme="1"/>
      <name val="Calibri"/>
      <family val="2"/>
      <scheme val="minor"/>
    </font>
    <font>
      <b/>
      <sz val="12"/>
      <name val="Arial"/>
      <family val="2"/>
      <charset val="1"/>
    </font>
    <font>
      <b/>
      <sz val="10"/>
      <name val="Arial"/>
      <family val="2"/>
      <charset val="1"/>
    </font>
    <font>
      <sz val="10"/>
      <color rgb="FF990099"/>
      <name val="Arial"/>
      <family val="2"/>
      <charset val="1"/>
    </font>
    <font>
      <b/>
      <sz val="10"/>
      <color rgb="FF3333FF"/>
      <name val="Arial"/>
      <family val="2"/>
      <charset val="1"/>
    </font>
    <font>
      <b/>
      <sz val="10"/>
      <color rgb="FF990099"/>
      <name val="Arial"/>
      <family val="2"/>
      <charset val="1"/>
    </font>
    <font>
      <sz val="10"/>
      <color rgb="FF801900"/>
      <name val="Arial"/>
      <family val="2"/>
      <charset val="1"/>
    </font>
    <font>
      <sz val="10"/>
      <color rgb="FF0000FF"/>
      <name val="Arial"/>
      <family val="2"/>
      <charset val="1"/>
    </font>
    <font>
      <i/>
      <sz val="10"/>
      <name val="Arial"/>
      <family val="2"/>
      <charset val="1"/>
    </font>
    <font>
      <b/>
      <i/>
      <sz val="10"/>
      <name val="Arial"/>
      <family val="2"/>
      <charset val="1"/>
    </font>
    <font>
      <i/>
      <sz val="10"/>
      <color rgb="FF0000FF"/>
      <name val="Arial"/>
      <family val="2"/>
      <charset val="1"/>
    </font>
    <font>
      <b/>
      <sz val="10"/>
      <color rgb="FF00CC33"/>
      <name val="Arial"/>
      <family val="2"/>
      <charset val="1"/>
    </font>
    <font>
      <sz val="10"/>
      <name val="Arial"/>
      <family val="2"/>
    </font>
    <font>
      <b/>
      <sz val="10"/>
      <color rgb="FF0000FF"/>
      <name val="Arial"/>
      <family val="2"/>
      <charset val="1"/>
    </font>
    <font>
      <b/>
      <sz val="10"/>
      <color rgb="FF801900"/>
      <name val="Arial"/>
      <family val="2"/>
      <charset val="1"/>
    </font>
    <font>
      <b/>
      <sz val="11"/>
      <color rgb="FF000000"/>
      <name val="Calibri"/>
      <family val="2"/>
      <charset val="1"/>
    </font>
    <font>
      <b/>
      <u/>
      <sz val="12"/>
      <color rgb="FF000000"/>
      <name val="Calibri"/>
      <family val="2"/>
      <charset val="1"/>
    </font>
    <font>
      <i/>
      <u/>
      <sz val="12"/>
      <color rgb="FF000000"/>
      <name val="Calibri"/>
      <family val="2"/>
      <charset val="1"/>
    </font>
    <font>
      <b/>
      <sz val="11"/>
      <color rgb="FF43C330"/>
      <name val="Calibri"/>
      <family val="2"/>
      <charset val="1"/>
    </font>
    <font>
      <b/>
      <sz val="11"/>
      <color rgb="FF009933"/>
      <name val="Calibri"/>
      <family val="2"/>
      <charset val="1"/>
    </font>
    <font>
      <b/>
      <sz val="11"/>
      <name val="Calibri"/>
      <family val="2"/>
      <charset val="1"/>
    </font>
    <font>
      <sz val="10"/>
      <color rgb="FF009933"/>
      <name val="Arial"/>
      <family val="2"/>
      <charset val="1"/>
    </font>
    <font>
      <b/>
      <sz val="11"/>
      <color indexed="8"/>
      <name val="Calibri"/>
      <family val="2"/>
    </font>
    <font>
      <sz val="11"/>
      <color indexed="8"/>
      <name val="Calibri"/>
      <family val="2"/>
    </font>
    <font>
      <b/>
      <sz val="11"/>
      <color indexed="12"/>
      <name val="Calibri"/>
      <family val="2"/>
    </font>
    <font>
      <b/>
      <sz val="10"/>
      <name val="Arial"/>
      <family val="2"/>
    </font>
    <font>
      <b/>
      <sz val="10"/>
      <color indexed="62"/>
      <name val="Arial"/>
      <family val="2"/>
    </font>
    <font>
      <sz val="10"/>
      <color indexed="12"/>
      <name val="Arial"/>
      <family val="2"/>
    </font>
    <font>
      <b/>
      <sz val="10"/>
      <color indexed="12"/>
      <name val="Arial"/>
      <family val="2"/>
    </font>
    <font>
      <sz val="10"/>
      <color indexed="19"/>
      <name val="Arial"/>
      <family val="2"/>
    </font>
    <font>
      <sz val="10"/>
      <color indexed="9"/>
      <name val="Arial"/>
      <family val="2"/>
    </font>
    <font>
      <b/>
      <sz val="10"/>
      <color indexed="8"/>
      <name val="Arial"/>
      <family val="2"/>
    </font>
    <font>
      <sz val="10"/>
      <color indexed="60"/>
      <name val="Arial"/>
      <family val="2"/>
    </font>
    <font>
      <b/>
      <sz val="10"/>
      <color indexed="9"/>
      <name val="Arial"/>
      <family val="2"/>
    </font>
    <font>
      <i/>
      <sz val="10"/>
      <color indexed="23"/>
      <name val="Arial"/>
      <family val="2"/>
    </font>
    <font>
      <sz val="10"/>
      <color indexed="58"/>
      <name val="Arial"/>
      <family val="2"/>
    </font>
    <font>
      <sz val="18"/>
      <color indexed="8"/>
      <name val="Arial"/>
      <family val="2"/>
    </font>
    <font>
      <sz val="12"/>
      <color indexed="8"/>
      <name val="Arial"/>
      <family val="2"/>
    </font>
    <font>
      <sz val="10"/>
      <color indexed="63"/>
      <name val="Arial"/>
      <family val="2"/>
    </font>
    <font>
      <sz val="11"/>
      <color rgb="FF000000"/>
      <name val="Calibri"/>
      <family val="2"/>
      <charset val="1"/>
    </font>
    <font>
      <sz val="11"/>
      <color rgb="FF996600"/>
      <name val="Calibri"/>
      <family val="2"/>
      <charset val="1"/>
    </font>
    <font>
      <sz val="11"/>
      <name val="Calibri"/>
      <family val="2"/>
      <charset val="1"/>
    </font>
    <font>
      <sz val="11"/>
      <color rgb="FF0000FF"/>
      <name val="Calibri"/>
      <family val="2"/>
      <charset val="1"/>
    </font>
    <font>
      <sz val="11"/>
      <color rgb="FFFF0000"/>
      <name val="Calibri"/>
      <family val="2"/>
      <charset val="1"/>
    </font>
    <font>
      <b/>
      <sz val="11"/>
      <color rgb="FF00A0FC"/>
      <name val="Calibri"/>
      <family val="2"/>
      <charset val="1"/>
    </font>
    <font>
      <b/>
      <sz val="11"/>
      <color rgb="FF00CC00"/>
      <name val="Calibri"/>
      <family val="2"/>
      <charset val="1"/>
    </font>
    <font>
      <sz val="11"/>
      <color rgb="FF3333FF"/>
      <name val="Calibri"/>
      <family val="2"/>
      <charset val="1"/>
    </font>
    <font>
      <sz val="11"/>
      <color rgb="FF00A0FC"/>
      <name val="Calibri"/>
      <family val="2"/>
      <charset val="1"/>
    </font>
    <font>
      <b/>
      <sz val="11"/>
      <color rgb="FFFF0000"/>
      <name val="Calibri"/>
      <family val="2"/>
      <charset val="1"/>
    </font>
    <font>
      <sz val="11"/>
      <color rgb="FF801900"/>
      <name val="Calibri"/>
      <family val="2"/>
      <charset val="1"/>
    </font>
    <font>
      <b/>
      <sz val="11"/>
      <color rgb="FF0000CC"/>
      <name val="Calibri"/>
      <family val="2"/>
      <charset val="1"/>
    </font>
    <font>
      <b/>
      <sz val="11"/>
      <color rgb="FFD36118"/>
      <name val="Calibri"/>
      <family val="2"/>
      <charset val="1"/>
    </font>
    <font>
      <b/>
      <sz val="11"/>
      <color rgb="FF800000"/>
      <name val="Calibri"/>
      <family val="2"/>
      <charset val="1"/>
    </font>
    <font>
      <i/>
      <sz val="11"/>
      <color rgb="FF000000"/>
      <name val="Calibri"/>
      <family val="2"/>
      <charset val="1"/>
    </font>
    <font>
      <b/>
      <i/>
      <sz val="11"/>
      <color rgb="FF000000"/>
      <name val="Calibri"/>
      <family val="2"/>
      <charset val="1"/>
    </font>
    <font>
      <b/>
      <i/>
      <sz val="11"/>
      <name val="Calibri"/>
      <family val="2"/>
      <charset val="1"/>
    </font>
    <font>
      <sz val="10"/>
      <name val="Arial"/>
      <family val="2"/>
      <charset val="1"/>
    </font>
    <font>
      <b/>
      <sz val="10"/>
      <color rgb="FF00B050"/>
      <name val="Arial"/>
      <family val="2"/>
    </font>
    <font>
      <b/>
      <sz val="14"/>
      <color theme="9" tint="-0.499984740745262"/>
      <name val="Calibri"/>
      <family val="2"/>
    </font>
    <font>
      <sz val="10"/>
      <color theme="9" tint="-0.499984740745262"/>
      <name val="Arial"/>
      <family val="2"/>
    </font>
    <font>
      <b/>
      <sz val="11"/>
      <color rgb="FF0000CC"/>
      <name val="Calibri"/>
      <family val="2"/>
    </font>
    <font>
      <sz val="9"/>
      <name val="Arial"/>
      <family val="2"/>
      <charset val="1"/>
    </font>
    <font>
      <sz val="10"/>
      <color rgb="FFFF0000"/>
      <name val="Arial"/>
      <family val="2"/>
      <charset val="1"/>
    </font>
    <font>
      <b/>
      <i/>
      <sz val="9"/>
      <name val="Arial"/>
      <family val="2"/>
    </font>
    <font>
      <b/>
      <sz val="10"/>
      <color theme="0"/>
      <name val="Arial"/>
      <family val="2"/>
      <charset val="1"/>
    </font>
    <font>
      <i/>
      <sz val="8"/>
      <color theme="0" tint="-0.499984740745262"/>
      <name val="Arial"/>
      <family val="2"/>
      <charset val="1"/>
    </font>
    <font>
      <sz val="8"/>
      <color theme="0" tint="-0.499984740745262"/>
      <name val="Arial"/>
      <family val="2"/>
      <charset val="1"/>
    </font>
    <font>
      <b/>
      <sz val="10"/>
      <color theme="0"/>
      <name val="Arial"/>
      <family val="2"/>
    </font>
    <font>
      <sz val="10"/>
      <name val="Wingdings"/>
      <charset val="2"/>
    </font>
    <font>
      <sz val="11"/>
      <color theme="5" tint="-0.499984740745262"/>
      <name val="Calibri"/>
      <family val="2"/>
      <charset val="1"/>
    </font>
    <font>
      <sz val="11"/>
      <color rgb="FF0000CC"/>
      <name val="Calibri"/>
      <family val="2"/>
      <charset val="1"/>
    </font>
    <font>
      <sz val="11"/>
      <color rgb="FF000000"/>
      <name val="Calibri"/>
      <family val="2"/>
    </font>
    <font>
      <sz val="11"/>
      <color rgb="FF43C330"/>
      <name val="Calibri"/>
      <family val="2"/>
      <charset val="1"/>
    </font>
    <font>
      <sz val="11"/>
      <color rgb="FF009933"/>
      <name val="Calibri"/>
      <family val="2"/>
      <charset val="1"/>
    </font>
    <font>
      <b/>
      <sz val="11"/>
      <color rgb="FF000000"/>
      <name val="Calibri"/>
      <family val="2"/>
    </font>
    <font>
      <sz val="11"/>
      <color theme="3" tint="-0.499984740745262"/>
      <name val="Calibri"/>
      <family val="2"/>
      <charset val="1"/>
    </font>
    <font>
      <b/>
      <sz val="11"/>
      <color theme="9" tint="-0.249977111117893"/>
      <name val="Calibri"/>
      <family val="2"/>
    </font>
    <font>
      <b/>
      <sz val="11"/>
      <color theme="9" tint="-0.249977111117893"/>
      <name val="Calibri"/>
      <family val="2"/>
      <charset val="1"/>
    </font>
    <font>
      <sz val="11"/>
      <name val="Calibri"/>
      <family val="2"/>
    </font>
    <font>
      <b/>
      <sz val="10"/>
      <color rgb="FF0033CC"/>
      <name val="Arial"/>
      <family val="2"/>
    </font>
    <font>
      <b/>
      <sz val="9"/>
      <color rgb="FF00CC33"/>
      <name val="Arial"/>
      <family val="2"/>
      <charset val="1"/>
    </font>
    <font>
      <sz val="11"/>
      <color rgb="FF00B050"/>
      <name val="Calibri"/>
      <family val="2"/>
      <charset val="1"/>
    </font>
    <font>
      <b/>
      <sz val="11"/>
      <color rgb="FF00B050"/>
      <name val="Calibri"/>
      <family val="2"/>
    </font>
    <font>
      <i/>
      <sz val="10"/>
      <color rgb="FF000000"/>
      <name val="Calibri"/>
      <family val="2"/>
    </font>
    <font>
      <sz val="11"/>
      <color theme="9" tint="-0.249977111117893"/>
      <name val="Calibri"/>
      <family val="2"/>
      <charset val="1"/>
    </font>
    <font>
      <b/>
      <sz val="11"/>
      <color theme="9" tint="-0.499984740745262"/>
      <name val="Calibri"/>
      <family val="2"/>
    </font>
    <font>
      <i/>
      <sz val="10"/>
      <name val="Calibri"/>
      <family val="2"/>
    </font>
    <font>
      <sz val="11"/>
      <color theme="9" tint="-0.499984740745262"/>
      <name val="Calibri"/>
      <family val="2"/>
      <charset val="1"/>
    </font>
    <font>
      <sz val="9"/>
      <color theme="0" tint="-0.249977111117893"/>
      <name val="Arial"/>
      <family val="2"/>
    </font>
    <font>
      <sz val="10"/>
      <color rgb="FF000000"/>
      <name val="Arial"/>
      <family val="2"/>
    </font>
    <font>
      <sz val="9"/>
      <color theme="0" tint="-0.499984740745262"/>
      <name val="Arial"/>
      <family val="2"/>
      <charset val="1"/>
    </font>
    <font>
      <i/>
      <sz val="9"/>
      <color theme="0" tint="-0.499984740745262"/>
      <name val="Arial"/>
      <family val="2"/>
    </font>
    <font>
      <sz val="8"/>
      <color theme="0" tint="-0.499984740745262"/>
      <name val="Calibri"/>
      <family val="2"/>
    </font>
    <font>
      <sz val="10"/>
      <color rgb="FF0000CC"/>
      <name val="Arial"/>
      <family val="2"/>
      <charset val="1"/>
    </font>
    <font>
      <b/>
      <sz val="11"/>
      <color theme="0" tint="-0.499984740745262"/>
      <name val="Calibri"/>
      <family val="2"/>
    </font>
    <font>
      <sz val="11"/>
      <color theme="0" tint="-0.499984740745262"/>
      <name val="Calibri"/>
      <family val="2"/>
    </font>
    <font>
      <sz val="9"/>
      <color rgb="FF00CC33"/>
      <name val="Arial"/>
      <family val="2"/>
    </font>
    <font>
      <b/>
      <sz val="11"/>
      <color theme="0"/>
      <name val="Arial"/>
      <family val="2"/>
    </font>
    <font>
      <b/>
      <sz val="10"/>
      <color rgb="FFFF0000"/>
      <name val="Arial"/>
      <family val="2"/>
    </font>
    <font>
      <sz val="10"/>
      <color theme="2" tint="-0.89999084444715716"/>
      <name val="Arial"/>
      <family val="2"/>
      <charset val="1"/>
    </font>
    <font>
      <sz val="9"/>
      <color indexed="8"/>
      <name val="Calibri"/>
      <family val="2"/>
    </font>
    <font>
      <b/>
      <sz val="9"/>
      <color indexed="8"/>
      <name val="Calibri"/>
      <family val="2"/>
    </font>
    <font>
      <sz val="11"/>
      <color indexed="8"/>
      <name val="Sylfaen"/>
      <family val="2"/>
    </font>
    <font>
      <b/>
      <sz val="11"/>
      <color indexed="8"/>
      <name val="Sylfaen"/>
      <family val="2"/>
    </font>
    <font>
      <sz val="9"/>
      <color indexed="62"/>
      <name val="Calibri"/>
      <family val="2"/>
    </font>
    <font>
      <sz val="9"/>
      <color indexed="53"/>
      <name val="Calibri"/>
      <family val="2"/>
    </font>
    <font>
      <sz val="9"/>
      <color indexed="17"/>
      <name val="Calibri"/>
      <family val="2"/>
    </font>
    <font>
      <sz val="9"/>
      <name val="Calibri"/>
      <family val="2"/>
    </font>
    <font>
      <b/>
      <sz val="9"/>
      <color indexed="62"/>
      <name val="Calibri"/>
      <family val="2"/>
    </font>
    <font>
      <b/>
      <sz val="9"/>
      <color indexed="53"/>
      <name val="Calibri"/>
      <family val="2"/>
    </font>
    <font>
      <vertAlign val="superscript"/>
      <sz val="11"/>
      <color indexed="8"/>
      <name val="Calibri"/>
      <family val="2"/>
    </font>
    <font>
      <b/>
      <sz val="11"/>
      <color indexed="10"/>
      <name val="Calibri"/>
      <family val="2"/>
    </font>
    <font>
      <b/>
      <i/>
      <sz val="16"/>
      <color indexed="8"/>
      <name val="Sylfaen"/>
      <family val="2"/>
    </font>
    <font>
      <b/>
      <i/>
      <u/>
      <sz val="11"/>
      <color indexed="8"/>
      <name val="Sylfaen"/>
      <family val="2"/>
    </font>
    <font>
      <b/>
      <sz val="10"/>
      <color rgb="FF0000CC"/>
      <name val="Arial"/>
      <family val="2"/>
    </font>
    <font>
      <b/>
      <sz val="10"/>
      <color rgb="FFC00000"/>
      <name val="Arial"/>
      <family val="2"/>
    </font>
    <font>
      <sz val="12"/>
      <color rgb="FF222222"/>
      <name val="Arial"/>
      <family val="2"/>
    </font>
    <font>
      <i/>
      <sz val="9"/>
      <name val="Arial"/>
      <family val="2"/>
    </font>
    <font>
      <vertAlign val="subscript"/>
      <sz val="10"/>
      <name val="Arial"/>
      <family val="2"/>
    </font>
    <font>
      <b/>
      <sz val="12"/>
      <name val="Arial"/>
      <family val="2"/>
    </font>
    <font>
      <i/>
      <sz val="10"/>
      <name val="Arial"/>
      <family val="2"/>
    </font>
    <font>
      <b/>
      <sz val="12"/>
      <color theme="0"/>
      <name val="Arial"/>
      <family val="2"/>
    </font>
    <font>
      <b/>
      <sz val="11"/>
      <color rgb="FF0070C0"/>
      <name val="Calibri"/>
      <family val="2"/>
    </font>
    <font>
      <sz val="10"/>
      <color rgb="FF00B050"/>
      <name val="Arial"/>
      <family val="2"/>
      <charset val="1"/>
    </font>
    <font>
      <i/>
      <sz val="10"/>
      <color rgb="FFFF0000"/>
      <name val="Arial"/>
      <family val="2"/>
    </font>
    <font>
      <b/>
      <i/>
      <sz val="10"/>
      <name val="Arial"/>
      <family val="2"/>
    </font>
    <font>
      <sz val="8"/>
      <name val="Arial"/>
      <family val="2"/>
      <charset val="1"/>
    </font>
    <font>
      <sz val="8"/>
      <color rgb="FF00B050"/>
      <name val="Arial"/>
      <family val="2"/>
      <charset val="1"/>
    </font>
    <font>
      <b/>
      <sz val="10"/>
      <color theme="0" tint="-0.34998626667073579"/>
      <name val="Arial"/>
      <family val="2"/>
    </font>
    <font>
      <b/>
      <sz val="10"/>
      <color rgb="FF009933"/>
      <name val="Arial"/>
      <family val="2"/>
    </font>
    <font>
      <sz val="11"/>
      <color theme="0" tint="-0.34998626667073579"/>
      <name val="Calibri"/>
      <family val="2"/>
      <charset val="1"/>
    </font>
    <font>
      <b/>
      <sz val="11"/>
      <color theme="0"/>
      <name val="Calibri"/>
      <family val="2"/>
    </font>
    <font>
      <b/>
      <sz val="11"/>
      <color rgb="FFFF0000"/>
      <name val="Calibri"/>
      <family val="2"/>
    </font>
    <font>
      <sz val="9"/>
      <color theme="0" tint="-0.34998626667073579"/>
      <name val="Calibri"/>
      <family val="2"/>
      <charset val="1"/>
    </font>
    <font>
      <sz val="11"/>
      <color rgb="FFC00000"/>
      <name val="Calibri"/>
      <family val="2"/>
      <charset val="1"/>
    </font>
    <font>
      <i/>
      <sz val="11"/>
      <color rgb="FF000000"/>
      <name val="Calibri"/>
      <family val="2"/>
    </font>
    <font>
      <b/>
      <sz val="11"/>
      <color rgb="FFC00000"/>
      <name val="Calibri"/>
      <family val="2"/>
    </font>
    <font>
      <sz val="9"/>
      <name val="Arial"/>
      <family val="2"/>
    </font>
    <font>
      <sz val="8"/>
      <name val="Arial"/>
      <family val="2"/>
    </font>
    <font>
      <b/>
      <sz val="8"/>
      <color rgb="FF0000CC"/>
      <name val="Arial"/>
      <family val="2"/>
    </font>
    <font>
      <i/>
      <vertAlign val="subscript"/>
      <sz val="11"/>
      <color rgb="FF000000"/>
      <name val="Calibri"/>
      <family val="2"/>
    </font>
    <font>
      <b/>
      <sz val="9"/>
      <name val="Arial"/>
      <family val="2"/>
      <charset val="1"/>
    </font>
    <font>
      <sz val="9"/>
      <color rgb="FF0000CC"/>
      <name val="Arial"/>
      <family val="2"/>
      <charset val="1"/>
    </font>
    <font>
      <vertAlign val="superscript"/>
      <sz val="9"/>
      <name val="Arial"/>
      <family val="2"/>
    </font>
    <font>
      <b/>
      <sz val="8"/>
      <color theme="9" tint="-0.249977111117893"/>
      <name val="Arial"/>
      <family val="2"/>
    </font>
    <font>
      <i/>
      <sz val="11"/>
      <color theme="9" tint="-0.249977111117893"/>
      <name val="Calibri"/>
      <family val="2"/>
      <charset val="1"/>
    </font>
    <font>
      <u/>
      <sz val="10"/>
      <color theme="10"/>
      <name val="Arial"/>
      <family val="2"/>
      <charset val="1"/>
    </font>
    <font>
      <b/>
      <sz val="10"/>
      <color theme="9" tint="-0.249977111117893"/>
      <name val="Arial"/>
      <family val="2"/>
    </font>
    <font>
      <sz val="11"/>
      <color rgb="FFFF0000"/>
      <name val="Calibri"/>
      <family val="2"/>
    </font>
    <font>
      <sz val="9"/>
      <color rgb="FF000000"/>
      <name val="Calibri"/>
      <family val="2"/>
      <charset val="1"/>
    </font>
    <font>
      <i/>
      <sz val="9"/>
      <color rgb="FF000000"/>
      <name val="Calibri"/>
      <family val="2"/>
      <charset val="1"/>
    </font>
    <font>
      <b/>
      <sz val="9"/>
      <color theme="9" tint="-0.499984740745262"/>
      <name val="Calibri"/>
      <family val="2"/>
      <charset val="1"/>
    </font>
    <font>
      <b/>
      <sz val="9"/>
      <color rgb="FF000000"/>
      <name val="Calibri"/>
      <family val="2"/>
      <charset val="1"/>
    </font>
    <font>
      <b/>
      <sz val="11"/>
      <color theme="0" tint="-0.34998626667073579"/>
      <name val="Calibri"/>
      <family val="2"/>
      <charset val="1"/>
    </font>
    <font>
      <b/>
      <sz val="11"/>
      <color theme="0" tint="-0.499984740745262"/>
      <name val="Calibri"/>
      <family val="2"/>
      <charset val="1"/>
    </font>
    <font>
      <b/>
      <sz val="10"/>
      <color rgb="FFFF0000"/>
      <name val="Arial"/>
      <family val="2"/>
      <charset val="1"/>
    </font>
    <font>
      <sz val="12"/>
      <name val="Arial"/>
      <family val="2"/>
      <charset val="1"/>
    </font>
    <font>
      <b/>
      <sz val="10"/>
      <color theme="9" tint="-0.249977111117893"/>
      <name val="Arial"/>
      <family val="2"/>
      <charset val="1"/>
    </font>
    <font>
      <b/>
      <sz val="10"/>
      <color theme="9" tint="-0.499984740745262"/>
      <name val="Arial"/>
      <family val="2"/>
      <charset val="1"/>
    </font>
    <font>
      <sz val="10"/>
      <color theme="0" tint="-0.34998626667073579"/>
      <name val="Arial"/>
      <family val="2"/>
      <charset val="1"/>
    </font>
    <font>
      <i/>
      <sz val="9"/>
      <color theme="0" tint="-0.34998626667073579"/>
      <name val="Arial"/>
      <family val="2"/>
      <charset val="1"/>
    </font>
    <font>
      <sz val="8"/>
      <color rgb="FF0033CC"/>
      <name val="Arial"/>
      <family val="2"/>
      <charset val="1"/>
    </font>
    <font>
      <b/>
      <sz val="9"/>
      <name val="Arial"/>
      <family val="2"/>
    </font>
    <font>
      <sz val="10"/>
      <color theme="10"/>
      <name val="Arial"/>
      <family val="2"/>
      <charset val="1"/>
    </font>
    <font>
      <b/>
      <sz val="11"/>
      <color theme="9" tint="-0.499984740745262"/>
      <name val="Calibri"/>
      <family val="2"/>
      <charset val="1"/>
    </font>
    <font>
      <sz val="8"/>
      <color theme="0" tint="-0.249977111117893"/>
      <name val="Arial"/>
      <family val="2"/>
      <charset val="1"/>
    </font>
    <font>
      <b/>
      <sz val="8"/>
      <color theme="0" tint="-0.249977111117893"/>
      <name val="Arial"/>
      <family val="2"/>
      <charset val="1"/>
    </font>
    <font>
      <b/>
      <sz val="10"/>
      <color theme="9" tint="-0.499984740745262"/>
      <name val="Arial"/>
      <family val="2"/>
    </font>
    <font>
      <i/>
      <sz val="9"/>
      <color theme="0" tint="-0.499984740745262"/>
      <name val="Calibri"/>
      <family val="2"/>
      <charset val="1"/>
    </font>
    <font>
      <sz val="9"/>
      <color rgb="FFC00000"/>
      <name val="Arial"/>
      <family val="2"/>
      <charset val="1"/>
    </font>
    <font>
      <b/>
      <sz val="11"/>
      <name val="Arial"/>
      <family val="2"/>
    </font>
    <font>
      <sz val="8"/>
      <color theme="1" tint="0.34998626667073579"/>
      <name val="Arial"/>
      <family val="2"/>
      <charset val="1"/>
    </font>
    <font>
      <b/>
      <sz val="8"/>
      <name val="Arial"/>
      <family val="2"/>
    </font>
    <font>
      <sz val="8"/>
      <color theme="0" tint="-0.34998626667073579"/>
      <name val="Arial"/>
      <family val="2"/>
      <charset val="1"/>
    </font>
    <font>
      <b/>
      <sz val="8"/>
      <name val="Arial"/>
      <family val="2"/>
      <charset val="1"/>
    </font>
    <font>
      <b/>
      <sz val="8"/>
      <color theme="0" tint="-0.34998626667073579"/>
      <name val="Arial"/>
      <family val="2"/>
      <charset val="1"/>
    </font>
    <font>
      <sz val="10"/>
      <color theme="9" tint="-0.499984740745262"/>
      <name val="Arial"/>
      <family val="2"/>
      <charset val="1"/>
    </font>
    <font>
      <sz val="10"/>
      <color theme="5" tint="-0.249977111117893"/>
      <name val="Arial"/>
      <family val="2"/>
      <charset val="1"/>
    </font>
    <font>
      <sz val="10"/>
      <color theme="9" tint="-0.249977111117893"/>
      <name val="Arial"/>
      <family val="2"/>
    </font>
    <font>
      <b/>
      <sz val="10"/>
      <color rgb="FF000000"/>
      <name val="Calibri"/>
      <family val="2"/>
    </font>
    <font>
      <b/>
      <sz val="9"/>
      <color rgb="FF000000"/>
      <name val="Calibri"/>
      <family val="2"/>
    </font>
    <font>
      <b/>
      <sz val="9"/>
      <color theme="0"/>
      <name val="Calibri"/>
      <family val="2"/>
    </font>
    <font>
      <b/>
      <sz val="9"/>
      <color theme="5" tint="-0.249977111117893"/>
      <name val="Arial"/>
      <family val="2"/>
      <charset val="1"/>
    </font>
    <font>
      <b/>
      <sz val="10"/>
      <color theme="5" tint="-0.249977111117893"/>
      <name val="Arial"/>
      <family val="2"/>
      <charset val="1"/>
    </font>
    <font>
      <sz val="11"/>
      <color theme="0" tint="-0.249977111117893"/>
      <name val="Calibri"/>
      <family val="2"/>
      <charset val="1"/>
    </font>
    <font>
      <b/>
      <sz val="11"/>
      <color theme="0" tint="-0.249977111117893"/>
      <name val="Calibri"/>
      <family val="2"/>
      <charset val="1"/>
    </font>
    <font>
      <b/>
      <sz val="11"/>
      <color theme="7" tint="-0.249977111117893"/>
      <name val="Calibri"/>
      <family val="2"/>
      <charset val="1"/>
    </font>
    <font>
      <b/>
      <sz val="10"/>
      <color rgb="FF000000"/>
      <name val="Arial"/>
      <family val="2"/>
    </font>
    <font>
      <b/>
      <sz val="9"/>
      <color rgb="FF000000"/>
      <name val="Arial"/>
      <family val="2"/>
    </font>
    <font>
      <b/>
      <sz val="12"/>
      <color rgb="FF000000"/>
      <name val="Calibri"/>
      <family val="2"/>
    </font>
    <font>
      <sz val="11"/>
      <color theme="0"/>
      <name val="Calibri"/>
      <family val="2"/>
      <charset val="1"/>
    </font>
    <font>
      <sz val="9"/>
      <color theme="0" tint="-0.14999847407452621"/>
      <name val="Calibri"/>
      <family val="2"/>
      <charset val="1"/>
    </font>
    <font>
      <sz val="10"/>
      <color theme="9" tint="-0.249977111117893"/>
      <name val="Arial"/>
      <family val="2"/>
      <charset val="1"/>
    </font>
    <font>
      <b/>
      <sz val="8"/>
      <color theme="0"/>
      <name val="Calibri"/>
      <family val="2"/>
    </font>
    <font>
      <b/>
      <sz val="9"/>
      <color theme="0"/>
      <name val="Calibri"/>
      <family val="2"/>
      <scheme val="minor"/>
    </font>
    <font>
      <b/>
      <sz val="10"/>
      <color rgb="FF7030A0"/>
      <name val="Arial"/>
      <family val="2"/>
    </font>
    <font>
      <b/>
      <sz val="9"/>
      <color rgb="FF7030A0"/>
      <name val="Arial"/>
      <family val="2"/>
    </font>
    <font>
      <b/>
      <sz val="8"/>
      <color theme="9" tint="-0.499984740745262"/>
      <name val="Arial"/>
      <family val="2"/>
    </font>
    <font>
      <sz val="11"/>
      <color theme="0"/>
      <name val="Calibri"/>
      <family val="2"/>
    </font>
    <font>
      <sz val="11"/>
      <color theme="8" tint="-0.249977111117893"/>
      <name val="Calibri"/>
      <family val="2"/>
      <charset val="1"/>
    </font>
    <font>
      <sz val="12"/>
      <color theme="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sz val="12"/>
      <color theme="9" tint="-0.499984740745262"/>
      <name val="Calibri"/>
      <family val="2"/>
      <scheme val="minor"/>
    </font>
    <font>
      <b/>
      <sz val="12"/>
      <color rgb="FF0000CC"/>
      <name val="Calibri"/>
      <family val="2"/>
      <scheme val="minor"/>
    </font>
    <font>
      <b/>
      <sz val="20"/>
      <color theme="1"/>
      <name val="Calibri"/>
      <family val="2"/>
      <scheme val="minor"/>
    </font>
    <font>
      <b/>
      <i/>
      <sz val="9"/>
      <color theme="9" tint="-0.499984740745262"/>
      <name val="Arial"/>
      <family val="2"/>
    </font>
    <font>
      <sz val="12"/>
      <name val="Calibri"/>
      <family val="2"/>
      <scheme val="minor"/>
    </font>
    <font>
      <b/>
      <sz val="12"/>
      <name val="Calibri"/>
      <family val="2"/>
      <scheme val="minor"/>
    </font>
    <font>
      <sz val="8"/>
      <color theme="9" tint="-0.499984740745262"/>
      <name val="Arial"/>
      <family val="2"/>
      <charset val="1"/>
    </font>
    <font>
      <b/>
      <sz val="10"/>
      <color theme="7" tint="-0.249977111117893"/>
      <name val="Arial"/>
      <family val="2"/>
    </font>
    <font>
      <b/>
      <sz val="12"/>
      <color rgb="FF0033CC"/>
      <name val="Calibri"/>
      <family val="2"/>
      <scheme val="minor"/>
    </font>
    <font>
      <i/>
      <sz val="12"/>
      <name val="Calibri"/>
      <family val="2"/>
      <scheme val="minor"/>
    </font>
    <font>
      <b/>
      <sz val="10"/>
      <color theme="2" tint="-0.89999084444715716"/>
      <name val="Arial"/>
      <family val="2"/>
    </font>
    <font>
      <sz val="10"/>
      <color theme="1" tint="0.499984740745262"/>
      <name val="Arial"/>
      <family val="2"/>
      <charset val="1"/>
    </font>
    <font>
      <sz val="9"/>
      <color theme="1" tint="0.499984740745262"/>
      <name val="Arial"/>
      <family val="2"/>
      <charset val="1"/>
    </font>
    <font>
      <b/>
      <sz val="12"/>
      <color theme="1" tint="0.499984740745262"/>
      <name val="Arial"/>
      <family val="2"/>
      <charset val="1"/>
    </font>
    <font>
      <b/>
      <sz val="10"/>
      <color theme="1" tint="0.499984740745262"/>
      <name val="Arial"/>
      <family val="2"/>
      <charset val="1"/>
    </font>
    <font>
      <b/>
      <u/>
      <sz val="10"/>
      <color theme="1" tint="0.499984740745262"/>
      <name val="Arial"/>
      <family val="2"/>
    </font>
    <font>
      <vertAlign val="subscript"/>
      <sz val="10"/>
      <color theme="9" tint="-0.499984740745262"/>
      <name val="Arial"/>
      <family val="2"/>
      <charset val="1"/>
    </font>
    <font>
      <sz val="9"/>
      <color rgb="FF0033CC"/>
      <name val="Calibri"/>
      <family val="2"/>
    </font>
    <font>
      <sz val="9"/>
      <color rgb="FF00B050"/>
      <name val="Calibri"/>
      <family val="2"/>
    </font>
    <font>
      <vertAlign val="superscript"/>
      <sz val="10"/>
      <color theme="9" tint="-0.499984740745262"/>
      <name val="Arial"/>
      <family val="2"/>
    </font>
    <font>
      <sz val="9"/>
      <color theme="9" tint="-0.249977111117893"/>
      <name val="Arial"/>
      <family val="2"/>
      <charset val="1"/>
    </font>
    <font>
      <b/>
      <sz val="10"/>
      <color theme="5" tint="-0.499984740745262"/>
      <name val="Arial"/>
      <family val="2"/>
    </font>
    <font>
      <b/>
      <i/>
      <sz val="10"/>
      <color theme="9" tint="-0.499984740745262"/>
      <name val="Arial"/>
      <family val="2"/>
    </font>
    <font>
      <sz val="10"/>
      <color rgb="FFC00000"/>
      <name val="Arial"/>
      <family val="2"/>
      <charset val="1"/>
    </font>
    <font>
      <sz val="10"/>
      <color rgb="FF0000CC"/>
      <name val="Arial"/>
      <family val="2"/>
    </font>
    <font>
      <sz val="12"/>
      <color rgb="FF0000CC"/>
      <name val="Calibri"/>
      <family val="2"/>
      <scheme val="minor"/>
    </font>
    <font>
      <i/>
      <sz val="9"/>
      <color theme="9" tint="-0.499984740745262"/>
      <name val="Arial"/>
      <family val="2"/>
    </font>
    <font>
      <b/>
      <sz val="9"/>
      <color indexed="81"/>
      <name val="Tahoma"/>
      <family val="2"/>
    </font>
    <font>
      <sz val="10"/>
      <color rgb="FF996600"/>
      <name val="Calibri"/>
      <family val="2"/>
      <charset val="1"/>
    </font>
    <font>
      <sz val="10"/>
      <name val="Calibri"/>
      <family val="2"/>
      <charset val="1"/>
    </font>
    <font>
      <b/>
      <sz val="10"/>
      <color rgb="FF0000CC"/>
      <name val="Calibri"/>
      <family val="2"/>
      <charset val="1"/>
    </font>
    <font>
      <b/>
      <sz val="10"/>
      <color rgb="FF000000"/>
      <name val="Calibri"/>
      <family val="2"/>
      <charset val="1"/>
    </font>
    <font>
      <sz val="10"/>
      <color theme="9" tint="-0.499984740745262"/>
      <name val="Calibri"/>
      <family val="2"/>
      <charset val="1"/>
    </font>
    <font>
      <b/>
      <i/>
      <sz val="10"/>
      <color rgb="FF0000CC"/>
      <name val="Arial"/>
      <family val="2"/>
    </font>
    <font>
      <sz val="10"/>
      <color rgb="FF00B050"/>
      <name val="Arial"/>
      <family val="2"/>
    </font>
    <font>
      <sz val="10"/>
      <color rgb="FF000000"/>
      <name val="Calibri"/>
      <family val="2"/>
    </font>
    <font>
      <sz val="10"/>
      <color rgb="FF0033CC"/>
      <name val="Arial"/>
      <family val="2"/>
      <charset val="1"/>
    </font>
    <font>
      <i/>
      <sz val="9"/>
      <color rgb="FF0000CC"/>
      <name val="Arial"/>
      <family val="2"/>
    </font>
    <font>
      <i/>
      <sz val="9"/>
      <color rgb="FF0033CC"/>
      <name val="Arial"/>
      <family val="2"/>
    </font>
    <font>
      <sz val="9"/>
      <color indexed="81"/>
      <name val="Tahoma"/>
      <family val="2"/>
    </font>
    <font>
      <sz val="9"/>
      <color rgb="FF0033CC"/>
      <name val="Arial"/>
      <family val="2"/>
      <charset val="1"/>
    </font>
    <font>
      <vertAlign val="superscript"/>
      <sz val="10"/>
      <name val="Arial"/>
      <family val="2"/>
    </font>
    <font>
      <vertAlign val="subscript"/>
      <sz val="9"/>
      <name val="Arial"/>
      <family val="2"/>
      <charset val="1"/>
    </font>
    <font>
      <sz val="9"/>
      <color rgb="FF0000CC"/>
      <name val="Arial"/>
      <family val="2"/>
    </font>
    <font>
      <sz val="10"/>
      <color rgb="FF0033CC"/>
      <name val="Arial"/>
      <family val="2"/>
    </font>
    <font>
      <i/>
      <sz val="8"/>
      <name val="Arial"/>
      <family val="2"/>
    </font>
    <font>
      <sz val="9"/>
      <color rgb="FF0033CC"/>
      <name val="Arial"/>
      <family val="2"/>
    </font>
    <font>
      <b/>
      <i/>
      <vertAlign val="subscript"/>
      <sz val="10"/>
      <name val="Arial"/>
      <family val="2"/>
    </font>
    <font>
      <sz val="10"/>
      <color rgb="FF801900"/>
      <name val="Arial"/>
      <family val="2"/>
    </font>
    <font>
      <sz val="10"/>
      <color theme="1"/>
      <name val="Arial"/>
      <family val="2"/>
    </font>
    <font>
      <b/>
      <sz val="10"/>
      <color rgb="FF990099"/>
      <name val="Arial"/>
      <family val="2"/>
    </font>
    <font>
      <b/>
      <sz val="10"/>
      <color rgb="FF0000FF"/>
      <name val="Arial"/>
      <family val="2"/>
    </font>
  </fonts>
  <fills count="66">
    <fill>
      <patternFill patternType="none"/>
    </fill>
    <fill>
      <patternFill patternType="gray125"/>
    </fill>
    <fill>
      <patternFill patternType="solid">
        <fgColor rgb="FFCFE7F5"/>
        <bgColor rgb="FFDDDDDD"/>
      </patternFill>
    </fill>
    <fill>
      <patternFill patternType="solid">
        <fgColor rgb="FFFFFF99"/>
        <bgColor rgb="FFFDE9A9"/>
      </patternFill>
    </fill>
    <fill>
      <patternFill patternType="solid">
        <fgColor rgb="FFFFFF00"/>
        <bgColor rgb="FFFFFF00"/>
      </patternFill>
    </fill>
    <fill>
      <patternFill patternType="solid">
        <fgColor rgb="FFAADCF7"/>
        <bgColor rgb="FFCFE7F5"/>
      </patternFill>
    </fill>
    <fill>
      <patternFill patternType="solid">
        <fgColor rgb="FFFDE9A9"/>
        <bgColor rgb="FFFFFF99"/>
      </patternFill>
    </fill>
    <fill>
      <patternFill patternType="solid">
        <fgColor rgb="FFCCFFFF"/>
        <bgColor rgb="FFCCFFCC"/>
      </patternFill>
    </fill>
    <fill>
      <patternFill patternType="solid">
        <fgColor indexed="8"/>
        <bgColor indexed="18"/>
      </patternFill>
    </fill>
    <fill>
      <patternFill patternType="solid">
        <fgColor indexed="23"/>
        <bgColor indexed="54"/>
      </patternFill>
    </fill>
    <fill>
      <patternFill patternType="solid">
        <fgColor indexed="31"/>
        <bgColor indexed="41"/>
      </patternFill>
    </fill>
    <fill>
      <patternFill patternType="solid">
        <fgColor indexed="45"/>
        <bgColor indexed="47"/>
      </patternFill>
    </fill>
    <fill>
      <patternFill patternType="solid">
        <fgColor indexed="60"/>
        <bgColor indexed="10"/>
      </patternFill>
    </fill>
    <fill>
      <patternFill patternType="solid">
        <fgColor indexed="42"/>
        <bgColor indexed="27"/>
      </patternFill>
    </fill>
    <fill>
      <patternFill patternType="solid">
        <fgColor indexed="26"/>
        <bgColor indexed="9"/>
      </patternFill>
    </fill>
    <fill>
      <patternFill patternType="solid">
        <fgColor rgb="FFDBEEF4"/>
        <bgColor rgb="FFCFE7F5"/>
      </patternFill>
    </fill>
    <fill>
      <patternFill patternType="solid">
        <fgColor rgb="FFFFFF00"/>
        <bgColor rgb="FFFFD320"/>
      </patternFill>
    </fill>
    <fill>
      <patternFill patternType="solid">
        <fgColor rgb="FFF9CFB5"/>
        <bgColor rgb="FFFDE9A9"/>
      </patternFill>
    </fill>
    <fill>
      <patternFill patternType="solid">
        <fgColor rgb="FFFF0000"/>
        <bgColor rgb="FFFF3333"/>
      </patternFill>
    </fill>
    <fill>
      <patternFill patternType="solid">
        <fgColor rgb="FFCCF4C6"/>
        <bgColor rgb="FFDBEEF4"/>
      </patternFill>
    </fill>
    <fill>
      <patternFill patternType="solid">
        <fgColor rgb="FFFDE9A9"/>
        <bgColor rgb="FFF9CFB5"/>
      </patternFill>
    </fill>
    <fill>
      <patternFill patternType="solid">
        <fgColor rgb="FF92D050"/>
        <bgColor indexed="22"/>
      </patternFill>
    </fill>
    <fill>
      <patternFill patternType="solid">
        <fgColor theme="9" tint="-0.499984740745262"/>
        <bgColor indexed="64"/>
      </patternFill>
    </fill>
    <fill>
      <patternFill patternType="solid">
        <fgColor theme="4" tint="-0.49998474074526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3" tint="0.59999389629810485"/>
        <bgColor rgb="FFCFE7F5"/>
      </patternFill>
    </fill>
    <fill>
      <patternFill patternType="solid">
        <fgColor rgb="FFFFFF99"/>
        <bgColor rgb="FFFFD320"/>
      </patternFill>
    </fill>
    <fill>
      <patternFill patternType="solid">
        <fgColor theme="3" tint="0.79998168889431442"/>
        <bgColor rgb="FFCFE7F5"/>
      </patternFill>
    </fill>
    <fill>
      <patternFill patternType="solid">
        <fgColor theme="4" tint="0.79998168889431442"/>
        <bgColor indexed="64"/>
      </patternFill>
    </fill>
    <fill>
      <patternFill patternType="solid">
        <fgColor rgb="FFFFFF00"/>
        <bgColor rgb="FFF9CFB5"/>
      </patternFill>
    </fill>
    <fill>
      <patternFill patternType="solid">
        <fgColor theme="6" tint="0.79998168889431442"/>
        <bgColor rgb="FFCFE7F5"/>
      </patternFill>
    </fill>
    <fill>
      <patternFill patternType="solid">
        <fgColor rgb="FFFFFF00"/>
        <bgColor rgb="FFCFE7F5"/>
      </patternFill>
    </fill>
    <fill>
      <patternFill patternType="solid">
        <fgColor theme="8" tint="0.79998168889431442"/>
        <bgColor indexed="64"/>
      </patternFill>
    </fill>
    <fill>
      <patternFill patternType="solid">
        <fgColor theme="3" tint="0.39997558519241921"/>
        <bgColor indexed="64"/>
      </patternFill>
    </fill>
    <fill>
      <patternFill patternType="solid">
        <fgColor indexed="44"/>
        <bgColor indexed="31"/>
      </patternFill>
    </fill>
    <fill>
      <patternFill patternType="solid">
        <fgColor rgb="FF92D050"/>
        <bgColor indexed="64"/>
      </patternFill>
    </fill>
    <fill>
      <patternFill patternType="solid">
        <fgColor rgb="FFFFFF99"/>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2"/>
        <bgColor indexed="64"/>
      </patternFill>
    </fill>
    <fill>
      <patternFill patternType="solid">
        <fgColor rgb="FF0070C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rgb="FF7030A0"/>
        <bgColor indexed="64"/>
      </patternFill>
    </fill>
    <fill>
      <patternFill patternType="solid">
        <fgColor rgb="FFFFFF00"/>
        <bgColor rgb="FFFDE9A9"/>
      </patternFill>
    </fill>
    <fill>
      <patternFill patternType="solid">
        <fgColor theme="4" tint="0.59999389629810485"/>
        <bgColor rgb="FFCFE7F5"/>
      </patternFill>
    </fill>
    <fill>
      <patternFill patternType="solid">
        <fgColor theme="4" tint="0.79998168889431442"/>
        <bgColor rgb="FFCFE7F5"/>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99"/>
        <bgColor rgb="FFCFE7F5"/>
      </patternFill>
    </fill>
    <fill>
      <patternFill patternType="solid">
        <fgColor theme="4"/>
        <bgColor indexed="64"/>
      </patternFill>
    </fill>
    <fill>
      <patternFill patternType="solid">
        <fgColor rgb="FFFFC000"/>
        <bgColor indexed="64"/>
      </patternFill>
    </fill>
    <fill>
      <patternFill patternType="solid">
        <fgColor theme="7" tint="0.79998168889431442"/>
        <bgColor indexed="64"/>
      </patternFill>
    </fill>
    <fill>
      <patternFill patternType="solid">
        <fgColor rgb="FFFFFFD4"/>
        <bgColor indexed="64"/>
      </patternFill>
    </fill>
    <fill>
      <patternFill patternType="solid">
        <fgColor theme="6" tint="0.39997558519241921"/>
        <bgColor indexed="64"/>
      </patternFill>
    </fill>
    <fill>
      <patternFill patternType="solid">
        <fgColor theme="4" tint="0.59999389629810485"/>
        <bgColor indexed="34"/>
      </patternFill>
    </fill>
    <fill>
      <patternFill patternType="solid">
        <fgColor theme="0" tint="-0.14999847407452621"/>
        <bgColor indexed="26"/>
      </patternFill>
    </fill>
    <fill>
      <patternFill patternType="solid">
        <fgColor theme="0" tint="-0.249977111117893"/>
        <bgColor indexed="64"/>
      </patternFill>
    </fill>
    <fill>
      <patternFill patternType="solid">
        <fgColor theme="2" tint="-9.9978637043366805E-2"/>
        <bgColor indexed="64"/>
      </patternFill>
    </fill>
  </fills>
  <borders count="166">
    <border>
      <left/>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diagonal/>
    </border>
    <border>
      <left/>
      <right style="hair">
        <color auto="1"/>
      </right>
      <top/>
      <bottom/>
      <diagonal/>
    </border>
    <border>
      <left/>
      <right style="hair">
        <color auto="1"/>
      </right>
      <top style="hair">
        <color auto="1"/>
      </top>
      <bottom/>
      <diagonal/>
    </border>
    <border>
      <left style="hair">
        <color auto="1"/>
      </left>
      <right style="hair">
        <color auto="1"/>
      </right>
      <top/>
      <bottom style="hair">
        <color auto="1"/>
      </bottom>
      <diagonal/>
    </border>
    <border>
      <left/>
      <right/>
      <top/>
      <bottom style="hair">
        <color auto="1"/>
      </bottom>
      <diagonal/>
    </border>
    <border>
      <left/>
      <right style="hair">
        <color auto="1"/>
      </right>
      <top/>
      <bottom style="hair">
        <color auto="1"/>
      </bottom>
      <diagonal/>
    </border>
    <border>
      <left style="hair">
        <color auto="1"/>
      </left>
      <right/>
      <top/>
      <bottom style="hair">
        <color auto="1"/>
      </bottom>
      <diagonal/>
    </border>
    <border>
      <left style="hair">
        <color auto="1"/>
      </left>
      <right/>
      <top/>
      <bottom/>
      <diagonal/>
    </border>
    <border>
      <left style="hair">
        <color auto="1"/>
      </left>
      <right/>
      <top style="hair">
        <color auto="1"/>
      </top>
      <bottom/>
      <diagonal/>
    </border>
    <border>
      <left/>
      <right/>
      <top style="hair">
        <color auto="1"/>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style="double">
        <color auto="1"/>
      </left>
      <right/>
      <top style="double">
        <color auto="1"/>
      </top>
      <bottom/>
      <diagonal/>
    </border>
    <border>
      <left/>
      <right/>
      <top style="double">
        <color auto="1"/>
      </top>
      <bottom/>
      <diagonal/>
    </border>
    <border>
      <left style="double">
        <color auto="1"/>
      </left>
      <right/>
      <top/>
      <bottom/>
      <diagonal/>
    </border>
    <border>
      <left style="double">
        <color auto="1"/>
      </left>
      <right/>
      <top/>
      <bottom style="double">
        <color auto="1"/>
      </bottom>
      <diagonal/>
    </border>
    <border>
      <left/>
      <right/>
      <top/>
      <bottom style="double">
        <color auto="1"/>
      </bottom>
      <diagonal/>
    </border>
    <border>
      <left style="double">
        <color rgb="FF002060"/>
      </left>
      <right/>
      <top/>
      <bottom/>
      <diagonal/>
    </border>
    <border>
      <left/>
      <right style="double">
        <color rgb="FF002060"/>
      </right>
      <top/>
      <bottom/>
      <diagonal/>
    </border>
    <border>
      <left style="double">
        <color rgb="FF002060"/>
      </left>
      <right/>
      <top/>
      <bottom style="double">
        <color rgb="FF002060"/>
      </bottom>
      <diagonal/>
    </border>
    <border>
      <left/>
      <right/>
      <top/>
      <bottom style="double">
        <color rgb="FF002060"/>
      </bottom>
      <diagonal/>
    </border>
    <border>
      <left/>
      <right style="double">
        <color rgb="FF002060"/>
      </right>
      <top/>
      <bottom style="double">
        <color rgb="FF002060"/>
      </bottom>
      <diagonal/>
    </border>
    <border>
      <left style="double">
        <color rgb="FF002060"/>
      </left>
      <right/>
      <top style="double">
        <color rgb="FF002060"/>
      </top>
      <bottom style="double">
        <color rgb="FF002060"/>
      </bottom>
      <diagonal/>
    </border>
    <border>
      <left/>
      <right/>
      <top style="double">
        <color rgb="FF002060"/>
      </top>
      <bottom style="double">
        <color rgb="FF002060"/>
      </bottom>
      <diagonal/>
    </border>
    <border>
      <left/>
      <right style="double">
        <color rgb="FF002060"/>
      </right>
      <top style="double">
        <color rgb="FF002060"/>
      </top>
      <bottom style="double">
        <color rgb="FF002060"/>
      </bottom>
      <diagonal/>
    </border>
    <border>
      <left/>
      <right style="double">
        <color auto="1"/>
      </right>
      <top style="double">
        <color auto="1"/>
      </top>
      <bottom/>
      <diagonal/>
    </border>
    <border>
      <left/>
      <right style="double">
        <color auto="1"/>
      </right>
      <top/>
      <bottom/>
      <diagonal/>
    </border>
    <border>
      <left/>
      <right style="double">
        <color auto="1"/>
      </right>
      <top/>
      <bottom style="double">
        <color auto="1"/>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auto="1"/>
      </right>
      <top style="thin">
        <color auto="1"/>
      </top>
      <bottom style="thin">
        <color auto="1"/>
      </bottom>
      <diagonal/>
    </border>
    <border>
      <left/>
      <right/>
      <top style="medium">
        <color indexed="64"/>
      </top>
      <bottom style="medium">
        <color indexed="64"/>
      </bottom>
      <diagonal/>
    </border>
    <border>
      <left style="thin">
        <color auto="1"/>
      </left>
      <right style="hair">
        <color auto="1"/>
      </right>
      <top/>
      <bottom style="thin">
        <color indexed="64"/>
      </bottom>
      <diagonal/>
    </border>
    <border>
      <left style="thin">
        <color auto="1"/>
      </left>
      <right style="thin">
        <color auto="1"/>
      </right>
      <top style="thin">
        <color auto="1"/>
      </top>
      <bottom style="thin">
        <color indexed="64"/>
      </bottom>
      <diagonal/>
    </border>
    <border>
      <left style="hair">
        <color auto="1"/>
      </left>
      <right style="hair">
        <color auto="1"/>
      </right>
      <top/>
      <bottom style="thin">
        <color indexed="64"/>
      </bottom>
      <diagonal/>
    </border>
    <border>
      <left style="thin">
        <color auto="1"/>
      </left>
      <right style="hair">
        <color auto="1"/>
      </right>
      <top/>
      <bottom/>
      <diagonal/>
    </border>
    <border>
      <left style="hair">
        <color auto="1"/>
      </left>
      <right style="thin">
        <color auto="1"/>
      </right>
      <top/>
      <bottom/>
      <diagonal/>
    </border>
    <border>
      <left style="hair">
        <color auto="1"/>
      </left>
      <right style="thin">
        <color auto="1"/>
      </right>
      <top/>
      <bottom style="thin">
        <color indexed="64"/>
      </bottom>
      <diagonal/>
    </border>
    <border>
      <left style="hair">
        <color auto="1"/>
      </left>
      <right/>
      <top style="thin">
        <color auto="1"/>
      </top>
      <bottom style="hair">
        <color auto="1"/>
      </bottom>
      <diagonal/>
    </border>
    <border>
      <left style="hair">
        <color auto="1"/>
      </left>
      <right/>
      <top style="thin">
        <color auto="1"/>
      </top>
      <bottom style="thin">
        <color auto="1"/>
      </bottom>
      <diagonal/>
    </border>
    <border>
      <left style="thin">
        <color auto="1"/>
      </left>
      <right/>
      <top style="thin">
        <color auto="1"/>
      </top>
      <bottom style="thin">
        <color auto="1"/>
      </bottom>
      <diagonal/>
    </border>
    <border>
      <left style="thin">
        <color indexed="64"/>
      </left>
      <right style="hair">
        <color auto="1"/>
      </right>
      <top style="hair">
        <color auto="1"/>
      </top>
      <bottom/>
      <diagonal/>
    </border>
    <border>
      <left style="hair">
        <color auto="1"/>
      </left>
      <right style="thin">
        <color indexed="64"/>
      </right>
      <top style="hair">
        <color auto="1"/>
      </top>
      <bottom/>
      <diagonal/>
    </border>
    <border>
      <left style="thin">
        <color indexed="64"/>
      </left>
      <right style="hair">
        <color auto="1"/>
      </right>
      <top/>
      <bottom style="hair">
        <color auto="1"/>
      </bottom>
      <diagonal/>
    </border>
    <border>
      <left style="hair">
        <color auto="1"/>
      </left>
      <right style="thin">
        <color indexed="64"/>
      </right>
      <top/>
      <bottom style="hair">
        <color auto="1"/>
      </bottom>
      <diagonal/>
    </border>
    <border>
      <left/>
      <right/>
      <top style="thin">
        <color indexed="64"/>
      </top>
      <bottom style="thin">
        <color auto="1"/>
      </bottom>
      <diagonal/>
    </border>
    <border>
      <left/>
      <right style="thin">
        <color indexed="64"/>
      </right>
      <top style="thin">
        <color auto="1"/>
      </top>
      <bottom style="thin">
        <color auto="1"/>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hair">
        <color auto="1"/>
      </bottom>
      <diagonal/>
    </border>
    <border>
      <left style="thin">
        <color indexed="64"/>
      </left>
      <right/>
      <top style="hair">
        <color auto="1"/>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auto="1"/>
      </top>
      <bottom style="thin">
        <color indexed="64"/>
      </bottom>
      <diagonal/>
    </border>
    <border>
      <left/>
      <right style="thin">
        <color indexed="64"/>
      </right>
      <top style="thin">
        <color indexed="64"/>
      </top>
      <bottom/>
      <diagonal/>
    </border>
    <border>
      <left style="hair">
        <color indexed="8"/>
      </left>
      <right/>
      <top style="hair">
        <color indexed="8"/>
      </top>
      <bottom/>
      <diagonal/>
    </border>
    <border>
      <left/>
      <right/>
      <top style="hair">
        <color indexed="8"/>
      </top>
      <bottom/>
      <diagonal/>
    </border>
    <border>
      <left/>
      <right style="hair">
        <color indexed="8"/>
      </right>
      <top style="hair">
        <color indexed="8"/>
      </top>
      <bottom/>
      <diagonal/>
    </border>
    <border>
      <left style="hair">
        <color indexed="8"/>
      </left>
      <right/>
      <top/>
      <bottom/>
      <diagonal/>
    </border>
    <border>
      <left/>
      <right style="hair">
        <color indexed="8"/>
      </right>
      <top/>
      <bottom/>
      <diagonal/>
    </border>
    <border>
      <left style="hair">
        <color indexed="8"/>
      </left>
      <right/>
      <top/>
      <bottom style="hair">
        <color indexed="8"/>
      </bottom>
      <diagonal/>
    </border>
    <border>
      <left/>
      <right/>
      <top/>
      <bottom style="hair">
        <color indexed="8"/>
      </bottom>
      <diagonal/>
    </border>
    <border>
      <left/>
      <right style="hair">
        <color indexed="8"/>
      </right>
      <top/>
      <bottom style="hair">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auto="1"/>
      </top>
      <bottom/>
      <diagonal/>
    </border>
    <border>
      <left style="thin">
        <color indexed="64"/>
      </left>
      <right style="thin">
        <color indexed="64"/>
      </right>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auto="1"/>
      </bottom>
      <diagonal/>
    </border>
    <border>
      <left style="thin">
        <color auto="1"/>
      </left>
      <right/>
      <top style="medium">
        <color indexed="64"/>
      </top>
      <bottom style="thin">
        <color auto="1"/>
      </bottom>
      <diagonal/>
    </border>
    <border>
      <left/>
      <right style="thin">
        <color indexed="64"/>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auto="1"/>
      </left>
      <right style="hair">
        <color auto="1"/>
      </right>
      <top style="medium">
        <color indexed="64"/>
      </top>
      <bottom style="medium">
        <color indexed="64"/>
      </bottom>
      <diagonal/>
    </border>
    <border>
      <left style="hair">
        <color auto="1"/>
      </left>
      <right style="thin">
        <color auto="1"/>
      </right>
      <top style="medium">
        <color indexed="64"/>
      </top>
      <bottom style="medium">
        <color indexed="64"/>
      </bottom>
      <diagonal/>
    </border>
    <border>
      <left style="hair">
        <color auto="1"/>
      </left>
      <right style="hair">
        <color auto="1"/>
      </right>
      <top style="medium">
        <color indexed="64"/>
      </top>
      <bottom style="medium">
        <color indexed="64"/>
      </bottom>
      <diagonal/>
    </border>
    <border>
      <left style="hair">
        <color auto="1"/>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hair">
        <color auto="1"/>
      </right>
      <top style="medium">
        <color indexed="64"/>
      </top>
      <bottom style="hair">
        <color auto="1"/>
      </bottom>
      <diagonal/>
    </border>
    <border>
      <left style="hair">
        <color auto="1"/>
      </left>
      <right style="hair">
        <color auto="1"/>
      </right>
      <top style="medium">
        <color indexed="64"/>
      </top>
      <bottom style="hair">
        <color auto="1"/>
      </bottom>
      <diagonal/>
    </border>
    <border>
      <left style="hair">
        <color auto="1"/>
      </left>
      <right style="medium">
        <color indexed="64"/>
      </right>
      <top style="medium">
        <color indexed="64"/>
      </top>
      <bottom style="hair">
        <color auto="1"/>
      </bottom>
      <diagonal/>
    </border>
    <border>
      <left style="dotted">
        <color indexed="64"/>
      </left>
      <right style="medium">
        <color indexed="64"/>
      </right>
      <top/>
      <bottom style="medium">
        <color indexed="64"/>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dotted">
        <color indexed="64"/>
      </right>
      <top/>
      <bottom style="medium">
        <color indexed="64"/>
      </bottom>
      <diagonal/>
    </border>
    <border>
      <left style="dotted">
        <color indexed="64"/>
      </left>
      <right style="dotted">
        <color indexed="64"/>
      </right>
      <top style="dotted">
        <color indexed="64"/>
      </top>
      <bottom/>
      <diagonal/>
    </border>
    <border>
      <left style="dotted">
        <color indexed="64"/>
      </left>
      <right style="medium">
        <color indexed="64"/>
      </right>
      <top style="dotted">
        <color indexed="64"/>
      </top>
      <bottom/>
      <diagonal/>
    </border>
    <border>
      <left style="dotted">
        <color auto="1"/>
      </left>
      <right style="dotted">
        <color auto="1"/>
      </right>
      <top style="hair">
        <color auto="1"/>
      </top>
      <bottom style="medium">
        <color indexed="64"/>
      </bottom>
      <diagonal/>
    </border>
    <border>
      <left style="dotted">
        <color auto="1"/>
      </left>
      <right style="medium">
        <color indexed="64"/>
      </right>
      <top style="hair">
        <color auto="1"/>
      </top>
      <bottom style="medium">
        <color indexed="64"/>
      </bottom>
      <diagonal/>
    </border>
    <border>
      <left style="dotted">
        <color auto="1"/>
      </left>
      <right style="dotted">
        <color auto="1"/>
      </right>
      <top/>
      <bottom style="dotted">
        <color indexed="64"/>
      </bottom>
      <diagonal/>
    </border>
    <border>
      <left style="dotted">
        <color auto="1"/>
      </left>
      <right style="medium">
        <color indexed="64"/>
      </right>
      <top/>
      <bottom style="dotted">
        <color indexed="64"/>
      </bottom>
      <diagonal/>
    </border>
    <border>
      <left style="medium">
        <color indexed="64"/>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auto="1"/>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hair">
        <color auto="1"/>
      </top>
      <bottom/>
      <diagonal/>
    </border>
    <border>
      <left/>
      <right style="medium">
        <color indexed="64"/>
      </right>
      <top style="thin">
        <color auto="1"/>
      </top>
      <bottom/>
      <diagonal/>
    </border>
    <border>
      <left style="thin">
        <color auto="1"/>
      </left>
      <right style="hair">
        <color auto="1"/>
      </right>
      <top style="thin">
        <color indexed="64"/>
      </top>
      <bottom/>
      <diagonal/>
    </border>
    <border>
      <left style="hair">
        <color auto="1"/>
      </left>
      <right style="thin">
        <color auto="1"/>
      </right>
      <top style="thin">
        <color indexed="64"/>
      </top>
      <bottom/>
      <diagonal/>
    </border>
    <border>
      <left style="hair">
        <color auto="1"/>
      </left>
      <right style="hair">
        <color auto="1"/>
      </right>
      <top style="thin">
        <color indexed="64"/>
      </top>
      <bottom/>
      <diagonal/>
    </border>
    <border>
      <left style="hair">
        <color auto="1"/>
      </left>
      <right style="thin">
        <color indexed="64"/>
      </right>
      <top style="hair">
        <color auto="1"/>
      </top>
      <bottom style="thin">
        <color auto="1"/>
      </bottom>
      <diagonal/>
    </border>
    <border>
      <left style="hair">
        <color auto="1"/>
      </left>
      <right style="thin">
        <color indexed="64"/>
      </right>
      <top style="thin">
        <color auto="1"/>
      </top>
      <bottom style="hair">
        <color auto="1"/>
      </bottom>
      <diagonal/>
    </border>
    <border>
      <left style="hair">
        <color auto="1"/>
      </left>
      <right/>
      <top style="hair">
        <color auto="1"/>
      </top>
      <bottom style="hair">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rgb="FF000000"/>
      </left>
      <right style="hair">
        <color rgb="FF000000"/>
      </right>
      <top/>
      <bottom/>
      <diagonal/>
    </border>
    <border>
      <left/>
      <right style="hair">
        <color rgb="FF000000"/>
      </right>
      <top/>
      <bottom/>
      <diagonal/>
    </border>
    <border>
      <left style="hair">
        <color rgb="FF000000"/>
      </left>
      <right style="hair">
        <color rgb="FF000000"/>
      </right>
      <top/>
      <bottom style="hair">
        <color rgb="FF000000"/>
      </bottom>
      <diagonal/>
    </border>
    <border>
      <left/>
      <right style="hair">
        <color rgb="FF000000"/>
      </right>
      <top/>
      <bottom style="hair">
        <color rgb="FF000000"/>
      </bottom>
      <diagonal/>
    </border>
  </borders>
  <cellStyleXfs count="49">
    <xf numFmtId="0" fontId="0" fillId="0" borderId="0"/>
    <xf numFmtId="0" fontId="13" fillId="0" borderId="0"/>
    <xf numFmtId="0" fontId="31" fillId="8"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2" fillId="10" borderId="0" applyNumberFormat="0" applyBorder="0" applyAlignment="0" applyProtection="0"/>
    <xf numFmtId="0" fontId="32" fillId="10" borderId="0" applyNumberFormat="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3" fillId="11" borderId="0" applyNumberFormat="0" applyBorder="0" applyAlignment="0" applyProtection="0"/>
    <xf numFmtId="0" fontId="33" fillId="11" borderId="0" applyNumberFormat="0" applyBorder="0" applyAlignment="0" applyProtection="0"/>
    <xf numFmtId="0" fontId="34" fillId="12" borderId="0" applyNumberFormat="0" applyBorder="0" applyAlignment="0" applyProtection="0"/>
    <xf numFmtId="0" fontId="34" fillId="12" borderId="0" applyNumberFormat="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6" fillId="13" borderId="0" applyNumberFormat="0" applyBorder="0" applyAlignment="0" applyProtection="0"/>
    <xf numFmtId="0" fontId="36" fillId="13" borderId="0" applyNumberFormat="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0" fillId="14" borderId="0" applyNumberFormat="0" applyBorder="0" applyAlignment="0" applyProtection="0"/>
    <xf numFmtId="0" fontId="30" fillId="14" borderId="0" applyNumberFormat="0" applyBorder="0" applyAlignment="0" applyProtection="0"/>
    <xf numFmtId="0" fontId="39" fillId="14" borderId="13" applyNumberFormat="0" applyAlignment="0" applyProtection="0"/>
    <xf numFmtId="0" fontId="39" fillId="14" borderId="13" applyNumberFormat="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40" fillId="0" borderId="0"/>
    <xf numFmtId="9" fontId="57" fillId="0" borderId="0" applyFont="0" applyFill="0" applyBorder="0" applyAlignment="0" applyProtection="0"/>
    <xf numFmtId="165" fontId="57" fillId="0" borderId="0" applyFont="0" applyFill="0" applyBorder="0" applyAlignment="0" applyProtection="0"/>
    <xf numFmtId="166" fontId="57" fillId="0" borderId="0" applyFont="0" applyFill="0" applyBorder="0" applyAlignment="0" applyProtection="0"/>
    <xf numFmtId="0" fontId="101" fillId="0" borderId="0"/>
    <xf numFmtId="0" fontId="103" fillId="0" borderId="0"/>
    <xf numFmtId="0" fontId="24" fillId="0" borderId="0"/>
    <xf numFmtId="9" fontId="103" fillId="0" borderId="0" applyFill="0" applyBorder="0" applyProtection="0"/>
    <xf numFmtId="190" fontId="103" fillId="0" borderId="0" applyFill="0" applyBorder="0" applyProtection="0"/>
    <xf numFmtId="191" fontId="103" fillId="0" borderId="0" applyFill="0" applyBorder="0" applyProtection="0"/>
    <xf numFmtId="0" fontId="113" fillId="0" borderId="0" applyNumberFormat="0" applyFill="0" applyBorder="0" applyProtection="0">
      <alignment horizontal="center"/>
    </xf>
    <xf numFmtId="0" fontId="113" fillId="0" borderId="0" applyNumberFormat="0" applyFill="0" applyBorder="0" applyProtection="0">
      <alignment horizontal="center" textRotation="90"/>
    </xf>
    <xf numFmtId="0" fontId="103" fillId="0" borderId="0"/>
    <xf numFmtId="0" fontId="114" fillId="0" borderId="0" applyNumberFormat="0" applyFill="0" applyBorder="0" applyProtection="0"/>
    <xf numFmtId="173" fontId="114" fillId="0" borderId="0" applyFill="0" applyBorder="0" applyProtection="0"/>
    <xf numFmtId="0" fontId="147" fillId="0" borderId="0" applyNumberFormat="0" applyFill="0" applyBorder="0" applyAlignment="0" applyProtection="0"/>
    <xf numFmtId="0" fontId="201" fillId="0" borderId="0"/>
  </cellStyleXfs>
  <cellXfs count="1575">
    <xf numFmtId="0" fontId="0" fillId="0" borderId="0" xfId="0"/>
    <xf numFmtId="0" fontId="0" fillId="0" borderId="0" xfId="0" applyAlignment="1">
      <alignment horizontal="center"/>
    </xf>
    <xf numFmtId="0" fontId="2" fillId="0" borderId="0" xfId="0" applyFont="1"/>
    <xf numFmtId="0" fontId="3" fillId="0" borderId="0" xfId="0" applyFont="1"/>
    <xf numFmtId="0" fontId="3" fillId="0" borderId="0" xfId="0" applyFont="1" applyAlignment="1">
      <alignment horizontal="center"/>
    </xf>
    <xf numFmtId="0" fontId="3" fillId="0" borderId="0" xfId="0" applyFont="1" applyAlignment="1">
      <alignment horizontal="right"/>
    </xf>
    <xf numFmtId="0" fontId="0" fillId="0" borderId="0" xfId="0" applyAlignment="1">
      <alignment vertical="center"/>
    </xf>
    <xf numFmtId="9" fontId="0" fillId="0" borderId="4" xfId="0" applyNumberFormat="1" applyBorder="1" applyAlignment="1">
      <alignment horizontal="center"/>
    </xf>
    <xf numFmtId="0" fontId="0" fillId="0" borderId="9" xfId="0" applyBorder="1" applyAlignment="1">
      <alignment horizontal="center"/>
    </xf>
    <xf numFmtId="0" fontId="0" fillId="0" borderId="8" xfId="0" applyBorder="1" applyAlignment="1">
      <alignment horizontal="center"/>
    </xf>
    <xf numFmtId="0" fontId="3" fillId="0" borderId="0" xfId="0" applyFont="1" applyAlignment="1">
      <alignment horizontal="left"/>
    </xf>
    <xf numFmtId="0" fontId="0" fillId="0" borderId="0" xfId="0" applyAlignment="1">
      <alignment horizontal="left" indent="1"/>
    </xf>
    <xf numFmtId="0" fontId="3" fillId="4" borderId="0" xfId="0" applyFont="1" applyFill="1"/>
    <xf numFmtId="0" fontId="0" fillId="0" borderId="0" xfId="0" applyAlignment="1">
      <alignment horizontal="left"/>
    </xf>
    <xf numFmtId="0" fontId="3" fillId="0" borderId="0" xfId="0" applyFont="1" applyAlignment="1">
      <alignment vertical="center"/>
    </xf>
    <xf numFmtId="0" fontId="3" fillId="0" borderId="0" xfId="0" applyFont="1" applyAlignment="1">
      <alignment horizontal="center" vertical="center"/>
    </xf>
    <xf numFmtId="0" fontId="10" fillId="0" borderId="0" xfId="0" applyFont="1"/>
    <xf numFmtId="0" fontId="10" fillId="0" borderId="0" xfId="0" applyFont="1" applyAlignment="1">
      <alignment horizontal="center"/>
    </xf>
    <xf numFmtId="0" fontId="0" fillId="6" borderId="3" xfId="0" applyFill="1" applyBorder="1" applyAlignment="1">
      <alignment horizontal="left" indent="1"/>
    </xf>
    <xf numFmtId="0" fontId="0" fillId="3" borderId="3" xfId="0" applyFill="1" applyBorder="1" applyAlignment="1">
      <alignment horizontal="left" indent="1"/>
    </xf>
    <xf numFmtId="0" fontId="0" fillId="5" borderId="3" xfId="0" applyFill="1" applyBorder="1" applyAlignment="1">
      <alignment horizontal="left" indent="1"/>
    </xf>
    <xf numFmtId="0" fontId="0" fillId="5" borderId="3" xfId="0" applyFill="1" applyBorder="1" applyAlignment="1">
      <alignment horizontal="center"/>
    </xf>
    <xf numFmtId="0" fontId="0" fillId="5" borderId="6" xfId="0" applyFill="1" applyBorder="1" applyAlignment="1">
      <alignment horizontal="left" indent="1"/>
    </xf>
    <xf numFmtId="0" fontId="0" fillId="5" borderId="6" xfId="0" applyFill="1" applyBorder="1" applyAlignment="1">
      <alignment horizontal="center"/>
    </xf>
    <xf numFmtId="0" fontId="11" fillId="0" borderId="0" xfId="0" applyFont="1"/>
    <xf numFmtId="0" fontId="9" fillId="0" borderId="0" xfId="0" applyFont="1"/>
    <xf numFmtId="0" fontId="0" fillId="0" borderId="10" xfId="0" applyBorder="1"/>
    <xf numFmtId="0" fontId="0" fillId="0" borderId="4" xfId="0" applyBorder="1"/>
    <xf numFmtId="0" fontId="0" fillId="0" borderId="1" xfId="0" applyBorder="1" applyAlignment="1">
      <alignment horizontal="center"/>
    </xf>
    <xf numFmtId="0" fontId="12" fillId="0" borderId="10" xfId="0" applyFont="1" applyBorder="1" applyAlignment="1">
      <alignment horizontal="center"/>
    </xf>
    <xf numFmtId="1" fontId="7" fillId="0" borderId="10" xfId="0" applyNumberFormat="1" applyFont="1" applyBorder="1" applyAlignment="1">
      <alignment horizontal="center"/>
    </xf>
    <xf numFmtId="168" fontId="0" fillId="0" borderId="4" xfId="0" applyNumberFormat="1" applyBorder="1" applyAlignment="1">
      <alignment horizontal="center"/>
    </xf>
    <xf numFmtId="167" fontId="4" fillId="0" borderId="10" xfId="0" applyNumberFormat="1" applyFont="1" applyBorder="1" applyAlignment="1">
      <alignment horizontal="center"/>
    </xf>
    <xf numFmtId="0" fontId="4" fillId="0" borderId="4" xfId="0" applyFont="1" applyBorder="1" applyAlignment="1">
      <alignment horizontal="center"/>
    </xf>
    <xf numFmtId="168" fontId="4" fillId="0" borderId="4" xfId="0" applyNumberFormat="1" applyFont="1" applyBorder="1" applyAlignment="1">
      <alignment horizontal="center"/>
    </xf>
    <xf numFmtId="167" fontId="0" fillId="0" borderId="10" xfId="0" applyNumberFormat="1" applyBorder="1" applyAlignment="1">
      <alignment horizontal="center"/>
    </xf>
    <xf numFmtId="173" fontId="0" fillId="0" borderId="10" xfId="0" applyNumberFormat="1" applyBorder="1"/>
    <xf numFmtId="168" fontId="6" fillId="0" borderId="4" xfId="0" applyNumberFormat="1" applyFont="1" applyBorder="1" applyAlignment="1">
      <alignment horizontal="center"/>
    </xf>
    <xf numFmtId="167" fontId="0" fillId="0" borderId="10" xfId="0" applyNumberFormat="1" applyBorder="1"/>
    <xf numFmtId="168" fontId="14" fillId="0" borderId="4" xfId="0" applyNumberFormat="1" applyFont="1" applyBorder="1" applyAlignment="1">
      <alignment horizontal="center"/>
    </xf>
    <xf numFmtId="168" fontId="15" fillId="0" borderId="0" xfId="0" applyNumberFormat="1" applyFont="1" applyAlignment="1">
      <alignment horizontal="center"/>
    </xf>
    <xf numFmtId="1" fontId="7" fillId="0" borderId="7" xfId="0" applyNumberFormat="1" applyFont="1" applyBorder="1" applyAlignment="1">
      <alignment horizontal="center"/>
    </xf>
    <xf numFmtId="168" fontId="0" fillId="0" borderId="8" xfId="0" applyNumberFormat="1" applyBorder="1" applyAlignment="1">
      <alignment horizontal="center"/>
    </xf>
    <xf numFmtId="0" fontId="16" fillId="0" borderId="0" xfId="0" applyFont="1"/>
    <xf numFmtId="0" fontId="17" fillId="0" borderId="0" xfId="0" applyFont="1" applyAlignment="1">
      <alignment horizontal="left" vertical="center"/>
    </xf>
    <xf numFmtId="0" fontId="0" fillId="0" borderId="0" xfId="0" applyAlignment="1">
      <alignment horizontal="center" vertical="center"/>
    </xf>
    <xf numFmtId="0" fontId="19" fillId="0" borderId="0" xfId="0" applyFont="1" applyAlignment="1">
      <alignment horizontal="right" vertical="center"/>
    </xf>
    <xf numFmtId="0" fontId="20" fillId="0" borderId="0" xfId="0" applyFont="1" applyAlignment="1">
      <alignment horizontal="left" vertical="center"/>
    </xf>
    <xf numFmtId="9" fontId="19" fillId="0" borderId="0" xfId="0" applyNumberFormat="1" applyFont="1" applyAlignment="1">
      <alignment horizontal="center"/>
    </xf>
    <xf numFmtId="0" fontId="19" fillId="0" borderId="0" xfId="0" applyFont="1" applyAlignment="1">
      <alignment horizontal="center" vertical="center"/>
    </xf>
    <xf numFmtId="9" fontId="19" fillId="0" borderId="0" xfId="0" applyNumberFormat="1" applyFont="1" applyAlignment="1">
      <alignment horizontal="center" vertical="center"/>
    </xf>
    <xf numFmtId="0" fontId="3" fillId="4" borderId="0" xfId="0" applyFont="1" applyFill="1" applyAlignment="1">
      <alignment horizontal="center" vertical="center"/>
    </xf>
    <xf numFmtId="0" fontId="3" fillId="2" borderId="0" xfId="0" applyFont="1" applyFill="1"/>
    <xf numFmtId="0" fontId="0" fillId="2" borderId="0" xfId="0" applyFill="1"/>
    <xf numFmtId="0" fontId="21" fillId="2" borderId="0" xfId="0" applyFont="1" applyFill="1" applyAlignment="1">
      <alignment horizontal="left" indent="1"/>
    </xf>
    <xf numFmtId="0" fontId="0" fillId="2" borderId="0" xfId="0" applyFill="1" applyAlignment="1">
      <alignment horizontal="center" vertical="center"/>
    </xf>
    <xf numFmtId="0" fontId="21" fillId="0" borderId="0" xfId="0" applyFont="1" applyAlignment="1">
      <alignment horizontal="left" indent="1"/>
    </xf>
    <xf numFmtId="0" fontId="16" fillId="0" borderId="0" xfId="0" applyFont="1" applyAlignment="1">
      <alignment horizontal="right" vertical="center"/>
    </xf>
    <xf numFmtId="169" fontId="22" fillId="0" borderId="0" xfId="0" applyNumberFormat="1" applyFont="1" applyAlignment="1">
      <alignment horizontal="center"/>
    </xf>
    <xf numFmtId="168" fontId="7" fillId="0" borderId="0" xfId="0" applyNumberFormat="1" applyFont="1" applyAlignment="1">
      <alignment horizontal="center"/>
    </xf>
    <xf numFmtId="169" fontId="22" fillId="0" borderId="12" xfId="0" applyNumberFormat="1" applyFont="1" applyBorder="1" applyAlignment="1">
      <alignment horizontal="center"/>
    </xf>
    <xf numFmtId="168" fontId="7" fillId="0" borderId="12" xfId="0" applyNumberFormat="1" applyFont="1" applyBorder="1" applyAlignment="1">
      <alignment horizontal="center"/>
    </xf>
    <xf numFmtId="168" fontId="7" fillId="0" borderId="5" xfId="0" applyNumberFormat="1" applyFont="1" applyBorder="1" applyAlignment="1">
      <alignment horizontal="center"/>
    </xf>
    <xf numFmtId="169" fontId="22" fillId="0" borderId="7" xfId="0" applyNumberFormat="1" applyFont="1" applyBorder="1" applyAlignment="1">
      <alignment horizontal="center"/>
    </xf>
    <xf numFmtId="168" fontId="7" fillId="0" borderId="7" xfId="0" applyNumberFormat="1" applyFont="1" applyBorder="1" applyAlignment="1">
      <alignment horizontal="center"/>
    </xf>
    <xf numFmtId="168" fontId="7" fillId="0" borderId="8" xfId="0" applyNumberFormat="1" applyFont="1" applyBorder="1" applyAlignment="1">
      <alignment horizontal="center"/>
    </xf>
    <xf numFmtId="169" fontId="7" fillId="0" borderId="0" xfId="0" applyNumberFormat="1" applyFont="1" applyAlignment="1">
      <alignment horizontal="center"/>
    </xf>
    <xf numFmtId="168" fontId="5" fillId="0" borderId="0" xfId="0" applyNumberFormat="1" applyFont="1" applyAlignment="1">
      <alignment horizontal="center"/>
    </xf>
    <xf numFmtId="0" fontId="8" fillId="0" borderId="0" xfId="0" applyFont="1"/>
    <xf numFmtId="0" fontId="12" fillId="0" borderId="0" xfId="0" applyFont="1"/>
    <xf numFmtId="10" fontId="0" fillId="0" borderId="0" xfId="0" applyNumberFormat="1"/>
    <xf numFmtId="1" fontId="0" fillId="0" borderId="0" xfId="0" applyNumberFormat="1"/>
    <xf numFmtId="168" fontId="0" fillId="0" borderId="0" xfId="0" applyNumberFormat="1"/>
    <xf numFmtId="0" fontId="0" fillId="4" borderId="0" xfId="0" applyFill="1"/>
    <xf numFmtId="0" fontId="8" fillId="4" borderId="0" xfId="0" applyFont="1" applyFill="1"/>
    <xf numFmtId="0" fontId="13" fillId="0" borderId="0" xfId="1"/>
    <xf numFmtId="0" fontId="23" fillId="0" borderId="0" xfId="1" applyFont="1" applyAlignment="1">
      <alignment horizontal="center"/>
    </xf>
    <xf numFmtId="0" fontId="13" fillId="0" borderId="0" xfId="1" applyAlignment="1">
      <alignment horizontal="center"/>
    </xf>
    <xf numFmtId="0" fontId="25" fillId="0" borderId="0" xfId="1" applyFont="1" applyAlignment="1">
      <alignment horizontal="center"/>
    </xf>
    <xf numFmtId="0" fontId="40" fillId="0" borderId="0" xfId="32"/>
    <xf numFmtId="0" fontId="40" fillId="0" borderId="0" xfId="32" applyAlignment="1">
      <alignment horizontal="center" vertical="center"/>
    </xf>
    <xf numFmtId="0" fontId="16" fillId="0" borderId="0" xfId="32" applyFont="1" applyAlignment="1">
      <alignment horizontal="left" vertical="center"/>
    </xf>
    <xf numFmtId="0" fontId="16" fillId="0" borderId="0" xfId="32" applyFont="1" applyAlignment="1">
      <alignment horizontal="center" vertical="center"/>
    </xf>
    <xf numFmtId="0" fontId="16" fillId="0" borderId="0" xfId="32" applyFont="1"/>
    <xf numFmtId="3" fontId="40" fillId="17" borderId="3" xfId="32" applyNumberFormat="1" applyFill="1" applyBorder="1" applyAlignment="1">
      <alignment horizontal="center" vertical="center"/>
    </xf>
    <xf numFmtId="3" fontId="44" fillId="16" borderId="2" xfId="32" applyNumberFormat="1" applyFont="1" applyFill="1" applyBorder="1" applyAlignment="1">
      <alignment horizontal="center" vertical="center"/>
    </xf>
    <xf numFmtId="9" fontId="46" fillId="0" borderId="3" xfId="32" applyNumberFormat="1" applyFont="1" applyBorder="1" applyAlignment="1">
      <alignment horizontal="center" vertical="center"/>
    </xf>
    <xf numFmtId="9" fontId="41" fillId="0" borderId="3" xfId="32" applyNumberFormat="1" applyFont="1" applyBorder="1" applyAlignment="1">
      <alignment horizontal="center" vertical="center"/>
    </xf>
    <xf numFmtId="9" fontId="42" fillId="17" borderId="3" xfId="32" applyNumberFormat="1" applyFont="1" applyFill="1" applyBorder="1" applyAlignment="1">
      <alignment horizontal="center" vertical="center"/>
    </xf>
    <xf numFmtId="3" fontId="16" fillId="17" borderId="3" xfId="32" applyNumberFormat="1" applyFont="1" applyFill="1" applyBorder="1" applyAlignment="1">
      <alignment horizontal="center" vertical="center"/>
    </xf>
    <xf numFmtId="9" fontId="47" fillId="0" borderId="3" xfId="32" applyNumberFormat="1" applyFont="1" applyBorder="1" applyAlignment="1">
      <alignment horizontal="center" vertical="center"/>
    </xf>
    <xf numFmtId="9" fontId="40" fillId="17" borderId="3" xfId="32" applyNumberFormat="1" applyFill="1" applyBorder="1" applyAlignment="1">
      <alignment horizontal="center" vertical="center"/>
    </xf>
    <xf numFmtId="9" fontId="21" fillId="17" borderId="6" xfId="32" applyNumberFormat="1" applyFont="1" applyFill="1" applyBorder="1" applyAlignment="1">
      <alignment horizontal="center"/>
    </xf>
    <xf numFmtId="0" fontId="44" fillId="0" borderId="0" xfId="32" applyFont="1"/>
    <xf numFmtId="0" fontId="40" fillId="19" borderId="12" xfId="32" applyFill="1" applyBorder="1" applyAlignment="1">
      <alignment horizontal="center" vertical="center"/>
    </xf>
    <xf numFmtId="0" fontId="40" fillId="19" borderId="5" xfId="32" applyFill="1" applyBorder="1" applyAlignment="1">
      <alignment horizontal="center" vertical="center"/>
    </xf>
    <xf numFmtId="0" fontId="16" fillId="0" borderId="0" xfId="32" applyFont="1" applyAlignment="1">
      <alignment horizontal="right" vertical="center"/>
    </xf>
    <xf numFmtId="1" fontId="50" fillId="0" borderId="4" xfId="32" applyNumberFormat="1" applyFont="1" applyBorder="1" applyAlignment="1">
      <alignment horizontal="center"/>
    </xf>
    <xf numFmtId="9" fontId="43" fillId="0" borderId="0" xfId="32" applyNumberFormat="1" applyFont="1" applyAlignment="1">
      <alignment horizontal="center"/>
    </xf>
    <xf numFmtId="0" fontId="21" fillId="0" borderId="0" xfId="32" applyFont="1" applyAlignment="1">
      <alignment horizontal="left" indent="1"/>
    </xf>
    <xf numFmtId="0" fontId="19" fillId="0" borderId="0" xfId="32" applyFont="1" applyAlignment="1">
      <alignment horizontal="center"/>
    </xf>
    <xf numFmtId="0" fontId="40" fillId="0" borderId="0" xfId="32" applyAlignment="1">
      <alignment vertical="center"/>
    </xf>
    <xf numFmtId="0" fontId="51" fillId="0" borderId="3" xfId="32" applyFont="1" applyBorder="1" applyAlignment="1">
      <alignment horizontal="center"/>
    </xf>
    <xf numFmtId="3" fontId="16" fillId="20" borderId="6" xfId="32" applyNumberFormat="1" applyFont="1" applyFill="1" applyBorder="1" applyAlignment="1">
      <alignment horizontal="center" vertical="center"/>
    </xf>
    <xf numFmtId="3" fontId="16" fillId="20" borderId="3" xfId="32" applyNumberFormat="1" applyFont="1" applyFill="1" applyBorder="1" applyAlignment="1">
      <alignment horizontal="center" vertical="center"/>
    </xf>
    <xf numFmtId="0" fontId="40" fillId="0" borderId="0" xfId="32" applyAlignment="1">
      <alignment horizontal="right" vertical="center"/>
    </xf>
    <xf numFmtId="3" fontId="40" fillId="20" borderId="3" xfId="32" applyNumberFormat="1" applyFill="1" applyBorder="1" applyAlignment="1">
      <alignment horizontal="center" vertical="center"/>
    </xf>
    <xf numFmtId="0" fontId="16" fillId="0" borderId="0" xfId="32" applyFont="1" applyAlignment="1">
      <alignment vertical="center"/>
    </xf>
    <xf numFmtId="0" fontId="40" fillId="0" borderId="3" xfId="32" applyBorder="1"/>
    <xf numFmtId="3" fontId="53" fillId="17" borderId="3" xfId="32" applyNumberFormat="1" applyFont="1" applyFill="1" applyBorder="1" applyAlignment="1">
      <alignment horizontal="center" vertical="center"/>
    </xf>
    <xf numFmtId="9" fontId="16" fillId="20" borderId="3" xfId="32" applyNumberFormat="1" applyFont="1" applyFill="1" applyBorder="1" applyAlignment="1">
      <alignment horizontal="center" vertical="center"/>
    </xf>
    <xf numFmtId="9" fontId="40" fillId="20" borderId="3" xfId="32" applyNumberFormat="1" applyFill="1" applyBorder="1" applyAlignment="1">
      <alignment horizontal="center" vertical="center"/>
    </xf>
    <xf numFmtId="175" fontId="16" fillId="20" borderId="3" xfId="32" applyNumberFormat="1" applyFont="1" applyFill="1" applyBorder="1" applyAlignment="1">
      <alignment horizontal="center" vertical="center"/>
    </xf>
    <xf numFmtId="175" fontId="16" fillId="17" borderId="3" xfId="32" applyNumberFormat="1" applyFont="1" applyFill="1" applyBorder="1" applyAlignment="1">
      <alignment horizontal="center" vertical="center"/>
    </xf>
    <xf numFmtId="0" fontId="54" fillId="0" borderId="0" xfId="32" applyFont="1"/>
    <xf numFmtId="0" fontId="54" fillId="0" borderId="0" xfId="32" applyFont="1" applyAlignment="1">
      <alignment vertical="center"/>
    </xf>
    <xf numFmtId="0" fontId="55" fillId="0" borderId="0" xfId="32" applyFont="1"/>
    <xf numFmtId="0" fontId="56" fillId="15" borderId="1" xfId="32" applyFont="1" applyFill="1" applyBorder="1" applyAlignment="1">
      <alignment horizontal="center" vertical="center"/>
    </xf>
    <xf numFmtId="3" fontId="56" fillId="0" borderId="1" xfId="32" applyNumberFormat="1" applyFont="1" applyBorder="1" applyAlignment="1">
      <alignment horizontal="center" vertical="center"/>
    </xf>
    <xf numFmtId="0" fontId="26" fillId="0" borderId="0" xfId="0" applyFont="1"/>
    <xf numFmtId="1" fontId="13" fillId="0" borderId="0" xfId="1" applyNumberFormat="1" applyAlignment="1">
      <alignment horizontal="center"/>
    </xf>
    <xf numFmtId="1" fontId="58" fillId="0" borderId="0" xfId="1" applyNumberFormat="1" applyFont="1" applyAlignment="1">
      <alignment horizontal="center"/>
    </xf>
    <xf numFmtId="0" fontId="13" fillId="0" borderId="0" xfId="1" applyAlignment="1">
      <alignment horizontal="left"/>
    </xf>
    <xf numFmtId="177" fontId="13" fillId="0" borderId="0" xfId="33" applyNumberFormat="1" applyFont="1" applyBorder="1" applyAlignment="1">
      <alignment horizontal="center"/>
    </xf>
    <xf numFmtId="0" fontId="40" fillId="15" borderId="15" xfId="32" applyFill="1" applyBorder="1" applyAlignment="1">
      <alignment horizontal="center" vertical="center"/>
    </xf>
    <xf numFmtId="0" fontId="40" fillId="15" borderId="15" xfId="32" applyFill="1" applyBorder="1" applyAlignment="1">
      <alignment horizontal="left" vertical="center"/>
    </xf>
    <xf numFmtId="181" fontId="23" fillId="21" borderId="0" xfId="1" applyNumberFormat="1" applyFont="1" applyFill="1" applyAlignment="1">
      <alignment horizontal="center"/>
    </xf>
    <xf numFmtId="0" fontId="25" fillId="0" borderId="23" xfId="1" applyFont="1" applyBorder="1" applyAlignment="1">
      <alignment horizontal="center"/>
    </xf>
    <xf numFmtId="1" fontId="13" fillId="0" borderId="24" xfId="1" applyNumberFormat="1" applyBorder="1" applyAlignment="1">
      <alignment horizontal="center"/>
    </xf>
    <xf numFmtId="0" fontId="13" fillId="0" borderId="23" xfId="1" applyBorder="1" applyAlignment="1">
      <alignment horizontal="center"/>
    </xf>
    <xf numFmtId="0" fontId="13" fillId="0" borderId="25" xfId="1" applyBorder="1" applyAlignment="1">
      <alignment horizontal="center"/>
    </xf>
    <xf numFmtId="0" fontId="13" fillId="0" borderId="26" xfId="1" applyBorder="1" applyAlignment="1">
      <alignment horizontal="center"/>
    </xf>
    <xf numFmtId="0" fontId="25" fillId="0" borderId="26" xfId="1" applyFont="1" applyBorder="1" applyAlignment="1">
      <alignment horizontal="center"/>
    </xf>
    <xf numFmtId="1" fontId="13" fillId="0" borderId="23" xfId="1" applyNumberFormat="1" applyBorder="1" applyAlignment="1">
      <alignment horizontal="center"/>
    </xf>
    <xf numFmtId="17" fontId="23" fillId="0" borderId="28" xfId="1" applyNumberFormat="1" applyFont="1" applyBorder="1" applyAlignment="1">
      <alignment horizontal="center"/>
    </xf>
    <xf numFmtId="17" fontId="23" fillId="0" borderId="29" xfId="1" applyNumberFormat="1" applyFont="1" applyBorder="1" applyAlignment="1">
      <alignment horizontal="center"/>
    </xf>
    <xf numFmtId="17" fontId="23" fillId="0" borderId="30" xfId="1" applyNumberFormat="1" applyFont="1" applyBorder="1" applyAlignment="1">
      <alignment horizontal="center"/>
    </xf>
    <xf numFmtId="0" fontId="61" fillId="0" borderId="23" xfId="1" applyFont="1" applyBorder="1" applyAlignment="1">
      <alignment horizontal="center"/>
    </xf>
    <xf numFmtId="0" fontId="61" fillId="0" borderId="0" xfId="1" applyFont="1" applyAlignment="1">
      <alignment horizontal="center"/>
    </xf>
    <xf numFmtId="0" fontId="61" fillId="0" borderId="27" xfId="1" applyFont="1" applyBorder="1" applyAlignment="1">
      <alignment horizontal="center"/>
    </xf>
    <xf numFmtId="2" fontId="61" fillId="0" borderId="0" xfId="1" applyNumberFormat="1" applyFont="1"/>
    <xf numFmtId="0" fontId="23" fillId="0" borderId="18" xfId="1" applyFont="1" applyBorder="1" applyAlignment="1">
      <alignment horizontal="left" indent="1"/>
    </xf>
    <xf numFmtId="0" fontId="59" fillId="0" borderId="19" xfId="1" applyFont="1" applyBorder="1" applyAlignment="1">
      <alignment horizontal="left"/>
    </xf>
    <xf numFmtId="0" fontId="60" fillId="0" borderId="19" xfId="1" applyFont="1" applyBorder="1"/>
    <xf numFmtId="0" fontId="13" fillId="0" borderId="31" xfId="1" applyBorder="1"/>
    <xf numFmtId="0" fontId="13" fillId="0" borderId="20" xfId="1" applyBorder="1"/>
    <xf numFmtId="17" fontId="24" fillId="0" borderId="0" xfId="1" applyNumberFormat="1" applyFont="1"/>
    <xf numFmtId="0" fontId="13" fillId="0" borderId="32" xfId="1" applyBorder="1"/>
    <xf numFmtId="0" fontId="61" fillId="0" borderId="0" xfId="1" applyFont="1"/>
    <xf numFmtId="0" fontId="23" fillId="0" borderId="20" xfId="1" applyFont="1" applyBorder="1"/>
    <xf numFmtId="0" fontId="27" fillId="0" borderId="0" xfId="1" applyFont="1"/>
    <xf numFmtId="180" fontId="29" fillId="0" borderId="0" xfId="1" applyNumberFormat="1" applyFont="1" applyAlignment="1">
      <alignment horizontal="center"/>
    </xf>
    <xf numFmtId="179" fontId="29" fillId="0" borderId="0" xfId="1" applyNumberFormat="1" applyFont="1" applyAlignment="1">
      <alignment horizontal="center"/>
    </xf>
    <xf numFmtId="176" fontId="29" fillId="0" borderId="0" xfId="1" applyNumberFormat="1" applyFont="1" applyAlignment="1">
      <alignment horizontal="center"/>
    </xf>
    <xf numFmtId="0" fontId="28" fillId="0" borderId="0" xfId="1" applyFont="1"/>
    <xf numFmtId="178" fontId="29" fillId="0" borderId="0" xfId="1" applyNumberFormat="1" applyFont="1" applyAlignment="1">
      <alignment horizontal="center"/>
    </xf>
    <xf numFmtId="0" fontId="13" fillId="0" borderId="21" xfId="1" applyBorder="1"/>
    <xf numFmtId="0" fontId="13" fillId="0" borderId="22" xfId="1" applyBorder="1"/>
    <xf numFmtId="0" fontId="13" fillId="0" borderId="33" xfId="1" applyBorder="1"/>
    <xf numFmtId="0" fontId="26" fillId="0" borderId="0" xfId="0" applyFont="1" applyAlignment="1">
      <alignment horizontal="left"/>
    </xf>
    <xf numFmtId="9" fontId="63" fillId="0" borderId="0" xfId="33" applyFont="1" applyAlignment="1">
      <alignment horizontal="center"/>
    </xf>
    <xf numFmtId="0" fontId="65" fillId="22" borderId="45" xfId="0" applyFont="1" applyFill="1" applyBorder="1" applyAlignment="1">
      <alignment horizontal="center"/>
    </xf>
    <xf numFmtId="0" fontId="65" fillId="22" borderId="46" xfId="0" applyFont="1" applyFill="1" applyBorder="1" applyAlignment="1">
      <alignment horizontal="center"/>
    </xf>
    <xf numFmtId="167" fontId="7" fillId="26" borderId="47" xfId="0" applyNumberFormat="1" applyFont="1" applyFill="1" applyBorder="1" applyAlignment="1">
      <alignment horizontal="center"/>
    </xf>
    <xf numFmtId="167" fontId="7" fillId="26" borderId="48" xfId="0" applyNumberFormat="1" applyFont="1" applyFill="1" applyBorder="1" applyAlignment="1">
      <alignment horizontal="center"/>
    </xf>
    <xf numFmtId="167" fontId="7" fillId="26" borderId="49" xfId="0" applyNumberFormat="1" applyFont="1" applyFill="1" applyBorder="1" applyAlignment="1">
      <alignment horizontal="center"/>
    </xf>
    <xf numFmtId="168" fontId="3" fillId="0" borderId="52" xfId="0" applyNumberFormat="1" applyFont="1" applyBorder="1" applyAlignment="1">
      <alignment horizontal="center"/>
    </xf>
    <xf numFmtId="168" fontId="12" fillId="0" borderId="52" xfId="0" applyNumberFormat="1" applyFont="1" applyBorder="1" applyAlignment="1">
      <alignment horizontal="center"/>
    </xf>
    <xf numFmtId="168" fontId="12" fillId="0" borderId="34" xfId="0" applyNumberFormat="1" applyFont="1" applyBorder="1" applyAlignment="1">
      <alignment horizontal="center"/>
    </xf>
    <xf numFmtId="182" fontId="66" fillId="0" borderId="0" xfId="34" applyNumberFormat="1" applyFont="1" applyBorder="1" applyAlignment="1">
      <alignment horizontal="center"/>
    </xf>
    <xf numFmtId="0" fontId="67" fillId="0" borderId="0" xfId="0" applyFont="1"/>
    <xf numFmtId="0" fontId="68" fillId="24" borderId="41" xfId="0" applyFont="1" applyFill="1" applyBorder="1" applyAlignment="1">
      <alignment horizontal="center"/>
    </xf>
    <xf numFmtId="0" fontId="68" fillId="24" borderId="42" xfId="0" applyFont="1" applyFill="1" applyBorder="1" applyAlignment="1">
      <alignment horizontal="center"/>
    </xf>
    <xf numFmtId="0" fontId="64" fillId="0" borderId="0" xfId="0" applyFont="1" applyAlignment="1">
      <alignment horizontal="left" vertical="center"/>
    </xf>
    <xf numFmtId="0" fontId="2" fillId="0" borderId="0" xfId="0" applyFont="1" applyAlignment="1">
      <alignment vertical="center"/>
    </xf>
    <xf numFmtId="0" fontId="62" fillId="0" borderId="0" xfId="0" applyFont="1" applyAlignment="1">
      <alignment horizontal="left" vertical="top" indent="1"/>
    </xf>
    <xf numFmtId="0" fontId="26" fillId="27" borderId="0" xfId="0" applyFont="1" applyFill="1" applyAlignment="1">
      <alignment horizontal="center" vertical="center"/>
    </xf>
    <xf numFmtId="167" fontId="6" fillId="27" borderId="0" xfId="0" applyNumberFormat="1" applyFont="1" applyFill="1" applyAlignment="1">
      <alignment horizontal="center"/>
    </xf>
    <xf numFmtId="9" fontId="6" fillId="27" borderId="0" xfId="0" applyNumberFormat="1" applyFont="1" applyFill="1" applyAlignment="1">
      <alignment horizontal="center"/>
    </xf>
    <xf numFmtId="0" fontId="44" fillId="0" borderId="0" xfId="32" applyFont="1" applyAlignment="1">
      <alignment horizontal="center"/>
    </xf>
    <xf numFmtId="0" fontId="71" fillId="0" borderId="0" xfId="32" applyFont="1"/>
    <xf numFmtId="0" fontId="61" fillId="0" borderId="0" xfId="32" applyFont="1"/>
    <xf numFmtId="0" fontId="73" fillId="0" borderId="0" xfId="0" applyFont="1" applyAlignment="1">
      <alignment horizontal="right" vertical="center"/>
    </xf>
    <xf numFmtId="171" fontId="73" fillId="0" borderId="0" xfId="0" applyNumberFormat="1" applyFont="1" applyAlignment="1">
      <alignment horizontal="center" vertical="center"/>
    </xf>
    <xf numFmtId="0" fontId="73" fillId="0" borderId="0" xfId="0" applyFont="1" applyAlignment="1">
      <alignment horizontal="center"/>
    </xf>
    <xf numFmtId="0" fontId="74" fillId="0" borderId="0" xfId="0" applyFont="1" applyAlignment="1">
      <alignment horizontal="left" vertical="center"/>
    </xf>
    <xf numFmtId="9" fontId="73" fillId="0" borderId="0" xfId="0" applyNumberFormat="1" applyFont="1" applyAlignment="1">
      <alignment horizontal="center"/>
    </xf>
    <xf numFmtId="0" fontId="19" fillId="28" borderId="0" xfId="0" applyFont="1" applyFill="1" applyAlignment="1">
      <alignment horizontal="right" vertical="center"/>
    </xf>
    <xf numFmtId="0" fontId="3" fillId="28" borderId="0" xfId="0" applyFont="1" applyFill="1"/>
    <xf numFmtId="0" fontId="21" fillId="28" borderId="0" xfId="0" applyFont="1" applyFill="1" applyAlignment="1">
      <alignment horizontal="right" vertical="center"/>
    </xf>
    <xf numFmtId="171" fontId="21" fillId="28" borderId="0" xfId="0" applyNumberFormat="1" applyFont="1" applyFill="1" applyAlignment="1">
      <alignment horizontal="center" vertical="center"/>
    </xf>
    <xf numFmtId="0" fontId="3" fillId="4" borderId="0" xfId="0" applyFont="1" applyFill="1" applyAlignment="1">
      <alignment horizontal="right" vertical="center"/>
    </xf>
    <xf numFmtId="168" fontId="19" fillId="0" borderId="0" xfId="0" applyNumberFormat="1" applyFont="1" applyAlignment="1">
      <alignment horizontal="center"/>
    </xf>
    <xf numFmtId="0" fontId="75" fillId="0" borderId="0" xfId="32" applyFont="1"/>
    <xf numFmtId="0" fontId="44" fillId="15" borderId="15" xfId="32" applyFont="1" applyFill="1" applyBorder="1" applyAlignment="1">
      <alignment horizontal="center" vertical="center"/>
    </xf>
    <xf numFmtId="0" fontId="51" fillId="0" borderId="0" xfId="32" applyFont="1" applyAlignment="1">
      <alignment horizontal="left" indent="1"/>
    </xf>
    <xf numFmtId="9" fontId="45" fillId="0" borderId="3" xfId="32" applyNumberFormat="1" applyFont="1" applyBorder="1" applyAlignment="1">
      <alignment horizontal="center" vertical="center"/>
    </xf>
    <xf numFmtId="3" fontId="40" fillId="30" borderId="3" xfId="32" applyNumberFormat="1" applyFill="1" applyBorder="1" applyAlignment="1">
      <alignment horizontal="center" vertical="center"/>
    </xf>
    <xf numFmtId="0" fontId="40" fillId="32" borderId="0" xfId="32" applyFill="1"/>
    <xf numFmtId="3" fontId="52" fillId="20" borderId="3" xfId="32" applyNumberFormat="1" applyFont="1" applyFill="1" applyBorder="1" applyAlignment="1">
      <alignment horizontal="center" vertical="center"/>
    </xf>
    <xf numFmtId="3" fontId="20" fillId="0" borderId="3" xfId="32" applyNumberFormat="1" applyFont="1" applyBorder="1" applyAlignment="1">
      <alignment horizontal="center" vertical="center"/>
    </xf>
    <xf numFmtId="0" fontId="19" fillId="0" borderId="15" xfId="32" applyFont="1" applyBorder="1" applyAlignment="1">
      <alignment horizontal="center"/>
    </xf>
    <xf numFmtId="3" fontId="20" fillId="0" borderId="15" xfId="32" applyNumberFormat="1" applyFont="1" applyBorder="1" applyAlignment="1">
      <alignment horizontal="center" vertical="center" wrapText="1"/>
    </xf>
    <xf numFmtId="174" fontId="16" fillId="33" borderId="38" xfId="32" applyNumberFormat="1" applyFont="1" applyFill="1" applyBorder="1" applyAlignment="1">
      <alignment horizontal="center"/>
    </xf>
    <xf numFmtId="0" fontId="16" fillId="33" borderId="50" xfId="32" applyFont="1" applyFill="1" applyBorder="1"/>
    <xf numFmtId="0" fontId="16" fillId="33" borderId="54" xfId="32" applyFont="1" applyFill="1" applyBorder="1"/>
    <xf numFmtId="0" fontId="16" fillId="33" borderId="51" xfId="32" applyFont="1" applyFill="1" applyBorder="1" applyAlignment="1">
      <alignment horizontal="center"/>
    </xf>
    <xf numFmtId="0" fontId="76" fillId="0" borderId="0" xfId="32" applyFont="1"/>
    <xf numFmtId="0" fontId="3" fillId="0" borderId="1" xfId="0" applyFont="1" applyBorder="1" applyAlignment="1">
      <alignment horizontal="center" vertical="center"/>
    </xf>
    <xf numFmtId="0" fontId="40" fillId="15" borderId="56" xfId="32" applyFill="1" applyBorder="1" applyAlignment="1">
      <alignment horizontal="center" vertical="center"/>
    </xf>
    <xf numFmtId="0" fontId="40" fillId="0" borderId="44" xfId="32" applyBorder="1"/>
    <xf numFmtId="9" fontId="43" fillId="17" borderId="57" xfId="32" applyNumberFormat="1" applyFont="1" applyFill="1" applyBorder="1" applyAlignment="1">
      <alignment horizontal="center" vertical="center"/>
    </xf>
    <xf numFmtId="3" fontId="40" fillId="17" borderId="59" xfId="32" applyNumberFormat="1" applyFill="1" applyBorder="1" applyAlignment="1">
      <alignment horizontal="center" vertical="center"/>
    </xf>
    <xf numFmtId="9" fontId="43" fillId="17" borderId="60" xfId="32" applyNumberFormat="1" applyFont="1" applyFill="1" applyBorder="1" applyAlignment="1">
      <alignment horizontal="center" vertical="center"/>
    </xf>
    <xf numFmtId="0" fontId="72" fillId="0" borderId="61" xfId="32" applyFont="1" applyBorder="1" applyAlignment="1">
      <alignment horizontal="center" vertical="center"/>
    </xf>
    <xf numFmtId="0" fontId="16" fillId="0" borderId="61" xfId="32" applyFont="1" applyBorder="1" applyAlignment="1">
      <alignment horizontal="center" vertical="center"/>
    </xf>
    <xf numFmtId="0" fontId="40" fillId="0" borderId="10" xfId="32" applyBorder="1"/>
    <xf numFmtId="0" fontId="16" fillId="0" borderId="9" xfId="32" applyFont="1" applyBorder="1" applyAlignment="1">
      <alignment horizontal="center" vertical="center"/>
    </xf>
    <xf numFmtId="0" fontId="16" fillId="34" borderId="61" xfId="32" applyFont="1" applyFill="1" applyBorder="1" applyAlignment="1">
      <alignment horizontal="center" vertical="center"/>
    </xf>
    <xf numFmtId="0" fontId="72" fillId="34" borderId="61" xfId="32" applyFont="1" applyFill="1" applyBorder="1" applyAlignment="1">
      <alignment horizontal="center" vertical="center"/>
    </xf>
    <xf numFmtId="0" fontId="16" fillId="15" borderId="62" xfId="32" applyFont="1" applyFill="1" applyBorder="1" applyAlignment="1">
      <alignment horizontal="center" vertical="center"/>
    </xf>
    <xf numFmtId="0" fontId="51" fillId="0" borderId="58" xfId="32" applyFont="1" applyBorder="1" applyAlignment="1">
      <alignment horizontal="center" vertical="center"/>
    </xf>
    <xf numFmtId="0" fontId="51" fillId="0" borderId="59" xfId="32" applyFont="1" applyBorder="1" applyAlignment="1">
      <alignment horizontal="center"/>
    </xf>
    <xf numFmtId="3" fontId="16" fillId="20" borderId="66" xfId="32" applyNumberFormat="1" applyFont="1" applyFill="1" applyBorder="1" applyAlignment="1">
      <alignment horizontal="center" vertical="center"/>
    </xf>
    <xf numFmtId="3" fontId="16" fillId="20" borderId="67" xfId="32" applyNumberFormat="1" applyFont="1" applyFill="1" applyBorder="1" applyAlignment="1">
      <alignment horizontal="center" vertical="center"/>
    </xf>
    <xf numFmtId="3" fontId="16" fillId="20" borderId="58" xfId="32" applyNumberFormat="1" applyFont="1" applyFill="1" applyBorder="1" applyAlignment="1">
      <alignment horizontal="center" vertical="center"/>
    </xf>
    <xf numFmtId="3" fontId="16" fillId="20" borderId="59" xfId="32" applyNumberFormat="1" applyFont="1" applyFill="1" applyBorder="1" applyAlignment="1">
      <alignment horizontal="center" vertical="center"/>
    </xf>
    <xf numFmtId="3" fontId="40" fillId="20" borderId="58" xfId="32" applyNumberFormat="1" applyFill="1" applyBorder="1" applyAlignment="1">
      <alignment horizontal="center" vertical="center"/>
    </xf>
    <xf numFmtId="3" fontId="40" fillId="20" borderId="59" xfId="32" applyNumberFormat="1" applyFill="1" applyBorder="1" applyAlignment="1">
      <alignment horizontal="center" vertical="center"/>
    </xf>
    <xf numFmtId="0" fontId="40" fillId="0" borderId="58" xfId="32" applyBorder="1"/>
    <xf numFmtId="0" fontId="40" fillId="0" borderId="59" xfId="32" applyBorder="1"/>
    <xf numFmtId="3" fontId="52" fillId="20" borderId="58" xfId="32" applyNumberFormat="1" applyFont="1" applyFill="1" applyBorder="1" applyAlignment="1">
      <alignment horizontal="center" vertical="center"/>
    </xf>
    <xf numFmtId="3" fontId="52" fillId="20" borderId="59" xfId="32" applyNumberFormat="1" applyFont="1" applyFill="1" applyBorder="1" applyAlignment="1">
      <alignment horizontal="center" vertical="center"/>
    </xf>
    <xf numFmtId="3" fontId="20" fillId="0" borderId="58" xfId="32" applyNumberFormat="1" applyFont="1" applyBorder="1" applyAlignment="1">
      <alignment horizontal="center" vertical="center"/>
    </xf>
    <xf numFmtId="3" fontId="20" fillId="0" borderId="59" xfId="32" applyNumberFormat="1" applyFont="1" applyBorder="1" applyAlignment="1">
      <alignment horizontal="center" vertical="center"/>
    </xf>
    <xf numFmtId="3" fontId="16" fillId="17" borderId="58" xfId="32" applyNumberFormat="1" applyFont="1" applyFill="1" applyBorder="1" applyAlignment="1">
      <alignment horizontal="center" vertical="center"/>
    </xf>
    <xf numFmtId="3" fontId="16" fillId="17" borderId="59" xfId="32" applyNumberFormat="1" applyFont="1" applyFill="1" applyBorder="1" applyAlignment="1">
      <alignment horizontal="center" vertical="center"/>
    </xf>
    <xf numFmtId="3" fontId="53" fillId="17" borderId="58" xfId="32" applyNumberFormat="1" applyFont="1" applyFill="1" applyBorder="1" applyAlignment="1">
      <alignment horizontal="center" vertical="center"/>
    </xf>
    <xf numFmtId="3" fontId="53" fillId="17" borderId="59" xfId="32" applyNumberFormat="1" applyFont="1" applyFill="1" applyBorder="1" applyAlignment="1">
      <alignment horizontal="center" vertical="center"/>
    </xf>
    <xf numFmtId="9" fontId="16" fillId="20" borderId="58" xfId="32" applyNumberFormat="1" applyFont="1" applyFill="1" applyBorder="1" applyAlignment="1">
      <alignment horizontal="center" vertical="center"/>
    </xf>
    <xf numFmtId="9" fontId="16" fillId="20" borderId="59" xfId="32" applyNumberFormat="1" applyFont="1" applyFill="1" applyBorder="1" applyAlignment="1">
      <alignment horizontal="center" vertical="center"/>
    </xf>
    <xf numFmtId="9" fontId="40" fillId="20" borderId="58" xfId="32" applyNumberFormat="1" applyFill="1" applyBorder="1" applyAlignment="1">
      <alignment horizontal="center" vertical="center"/>
    </xf>
    <xf numFmtId="9" fontId="40" fillId="20" borderId="59" xfId="32" applyNumberFormat="1" applyFill="1" applyBorder="1" applyAlignment="1">
      <alignment horizontal="center" vertical="center"/>
    </xf>
    <xf numFmtId="175" fontId="16" fillId="20" borderId="58" xfId="32" applyNumberFormat="1" applyFont="1" applyFill="1" applyBorder="1" applyAlignment="1">
      <alignment horizontal="center" vertical="center"/>
    </xf>
    <xf numFmtId="175" fontId="16" fillId="20" borderId="59" xfId="32" applyNumberFormat="1" applyFont="1" applyFill="1" applyBorder="1" applyAlignment="1">
      <alignment horizontal="center" vertical="center"/>
    </xf>
    <xf numFmtId="175" fontId="16" fillId="17" borderId="58" xfId="32" applyNumberFormat="1" applyFont="1" applyFill="1" applyBorder="1" applyAlignment="1">
      <alignment horizontal="center" vertical="center"/>
    </xf>
    <xf numFmtId="175" fontId="16" fillId="17" borderId="59" xfId="32" applyNumberFormat="1" applyFont="1" applyFill="1" applyBorder="1" applyAlignment="1">
      <alignment horizontal="center" vertical="center"/>
    </xf>
    <xf numFmtId="3" fontId="40" fillId="0" borderId="63" xfId="32" applyNumberFormat="1" applyBorder="1" applyAlignment="1">
      <alignment horizontal="center" vertical="center"/>
    </xf>
    <xf numFmtId="0" fontId="40" fillId="0" borderId="70" xfId="32" applyBorder="1" applyAlignment="1">
      <alignment horizontal="left" indent="1"/>
    </xf>
    <xf numFmtId="0" fontId="40" fillId="0" borderId="43" xfId="32" applyBorder="1"/>
    <xf numFmtId="0" fontId="40" fillId="0" borderId="71" xfId="32" applyBorder="1" applyAlignment="1">
      <alignment horizontal="left" indent="1"/>
    </xf>
    <xf numFmtId="0" fontId="40" fillId="0" borderId="36" xfId="32" applyBorder="1"/>
    <xf numFmtId="0" fontId="40" fillId="0" borderId="36" xfId="32" applyBorder="1" applyAlignment="1">
      <alignment horizontal="center"/>
    </xf>
    <xf numFmtId="0" fontId="40" fillId="17" borderId="36" xfId="32" applyFill="1" applyBorder="1" applyAlignment="1">
      <alignment horizontal="center"/>
    </xf>
    <xf numFmtId="0" fontId="16" fillId="0" borderId="35" xfId="32" applyFont="1" applyBorder="1" applyAlignment="1">
      <alignment horizontal="center" vertical="center"/>
    </xf>
    <xf numFmtId="9" fontId="0" fillId="0" borderId="0" xfId="33" applyFont="1"/>
    <xf numFmtId="9" fontId="80" fillId="0" borderId="0" xfId="0" applyNumberFormat="1" applyFont="1"/>
    <xf numFmtId="172" fontId="19" fillId="0" borderId="0" xfId="0" applyNumberFormat="1" applyFont="1" applyAlignment="1">
      <alignment horizontal="center" vertical="center"/>
    </xf>
    <xf numFmtId="168" fontId="73" fillId="0" borderId="0" xfId="0" applyNumberFormat="1" applyFont="1" applyAlignment="1">
      <alignment horizontal="center"/>
    </xf>
    <xf numFmtId="167" fontId="58" fillId="0" borderId="10" xfId="0" applyNumberFormat="1" applyFont="1" applyBorder="1" applyAlignment="1">
      <alignment horizontal="center"/>
    </xf>
    <xf numFmtId="0" fontId="0" fillId="0" borderId="11" xfId="0" applyBorder="1"/>
    <xf numFmtId="0" fontId="0" fillId="0" borderId="5" xfId="0" applyBorder="1"/>
    <xf numFmtId="167" fontId="0" fillId="0" borderId="9" xfId="0" applyNumberFormat="1" applyBorder="1" applyAlignment="1">
      <alignment horizontal="center"/>
    </xf>
    <xf numFmtId="168" fontId="4" fillId="0" borderId="8" xfId="0" applyNumberFormat="1" applyFont="1" applyBorder="1" applyAlignment="1">
      <alignment horizontal="center"/>
    </xf>
    <xf numFmtId="0" fontId="0" fillId="0" borderId="10" xfId="0" applyBorder="1" applyAlignment="1">
      <alignment horizontal="center"/>
    </xf>
    <xf numFmtId="0" fontId="16" fillId="15" borderId="70" xfId="32" applyFont="1" applyFill="1" applyBorder="1" applyAlignment="1">
      <alignment horizontal="center" vertical="center"/>
    </xf>
    <xf numFmtId="3" fontId="42" fillId="0" borderId="58" xfId="32" applyNumberFormat="1" applyFont="1" applyBorder="1" applyAlignment="1">
      <alignment horizontal="center" vertical="center"/>
    </xf>
    <xf numFmtId="3" fontId="42" fillId="0" borderId="59" xfId="32" applyNumberFormat="1" applyFont="1" applyBorder="1" applyAlignment="1">
      <alignment horizontal="center" vertical="center"/>
    </xf>
    <xf numFmtId="3" fontId="42" fillId="0" borderId="55" xfId="32" applyNumberFormat="1" applyFont="1" applyBorder="1" applyAlignment="1">
      <alignment horizontal="center" vertical="center"/>
    </xf>
    <xf numFmtId="3" fontId="42" fillId="0" borderId="60" xfId="32" applyNumberFormat="1" applyFont="1" applyBorder="1" applyAlignment="1">
      <alignment horizontal="center" vertical="center"/>
    </xf>
    <xf numFmtId="3" fontId="44" fillId="16" borderId="64" xfId="32" applyNumberFormat="1" applyFont="1" applyFill="1" applyBorder="1" applyAlignment="1">
      <alignment horizontal="center" vertical="center"/>
    </xf>
    <xf numFmtId="3" fontId="44" fillId="16" borderId="65" xfId="32" applyNumberFormat="1" applyFont="1" applyFill="1" applyBorder="1" applyAlignment="1">
      <alignment horizontal="center" vertical="center"/>
    </xf>
    <xf numFmtId="9" fontId="45" fillId="0" borderId="58" xfId="32" applyNumberFormat="1" applyFont="1" applyBorder="1" applyAlignment="1">
      <alignment horizontal="center" vertical="center"/>
    </xf>
    <xf numFmtId="9" fontId="45" fillId="0" borderId="59" xfId="32" applyNumberFormat="1" applyFont="1" applyBorder="1" applyAlignment="1">
      <alignment horizontal="center" vertical="center"/>
    </xf>
    <xf numFmtId="9" fontId="46" fillId="0" borderId="58" xfId="32" applyNumberFormat="1" applyFont="1" applyBorder="1" applyAlignment="1">
      <alignment horizontal="center" vertical="center"/>
    </xf>
    <xf numFmtId="9" fontId="46" fillId="0" borderId="59" xfId="32" applyNumberFormat="1" applyFont="1" applyBorder="1" applyAlignment="1">
      <alignment horizontal="center" vertical="center"/>
    </xf>
    <xf numFmtId="9" fontId="40" fillId="0" borderId="58" xfId="32" applyNumberFormat="1" applyBorder="1" applyAlignment="1">
      <alignment horizontal="center" vertical="center"/>
    </xf>
    <xf numFmtId="9" fontId="40" fillId="0" borderId="59" xfId="32" applyNumberFormat="1" applyBorder="1" applyAlignment="1">
      <alignment horizontal="center" vertical="center"/>
    </xf>
    <xf numFmtId="9" fontId="42" fillId="17" borderId="58" xfId="32" applyNumberFormat="1" applyFont="1" applyFill="1" applyBorder="1" applyAlignment="1">
      <alignment horizontal="center" vertical="center"/>
    </xf>
    <xf numFmtId="9" fontId="42" fillId="17" borderId="59" xfId="32" applyNumberFormat="1" applyFont="1" applyFill="1" applyBorder="1" applyAlignment="1">
      <alignment horizontal="center" vertical="center"/>
    </xf>
    <xf numFmtId="3" fontId="40" fillId="30" borderId="58" xfId="32" applyNumberFormat="1" applyFill="1" applyBorder="1" applyAlignment="1">
      <alignment horizontal="center" vertical="center"/>
    </xf>
    <xf numFmtId="3" fontId="40" fillId="30" borderId="59" xfId="32" applyNumberFormat="1" applyFill="1" applyBorder="1" applyAlignment="1">
      <alignment horizontal="center" vertical="center"/>
    </xf>
    <xf numFmtId="9" fontId="16" fillId="17" borderId="66" xfId="32" applyNumberFormat="1" applyFont="1" applyFill="1" applyBorder="1" applyAlignment="1">
      <alignment horizontal="center"/>
    </xf>
    <xf numFmtId="9" fontId="16" fillId="17" borderId="67" xfId="32" applyNumberFormat="1" applyFont="1" applyFill="1" applyBorder="1" applyAlignment="1">
      <alignment horizontal="center"/>
    </xf>
    <xf numFmtId="9" fontId="70" fillId="0" borderId="72" xfId="32" applyNumberFormat="1" applyFont="1" applyBorder="1" applyAlignment="1">
      <alignment horizontal="center"/>
    </xf>
    <xf numFmtId="9" fontId="70" fillId="0" borderId="37" xfId="32" applyNumberFormat="1" applyFont="1" applyBorder="1" applyAlignment="1">
      <alignment horizontal="center"/>
    </xf>
    <xf numFmtId="9" fontId="45" fillId="0" borderId="0" xfId="32" applyNumberFormat="1" applyFont="1" applyAlignment="1">
      <alignment horizontal="center" vertical="center"/>
    </xf>
    <xf numFmtId="9" fontId="40" fillId="0" borderId="0" xfId="32" applyNumberFormat="1" applyAlignment="1">
      <alignment horizontal="center" vertical="center"/>
    </xf>
    <xf numFmtId="9" fontId="42" fillId="17" borderId="0" xfId="32" applyNumberFormat="1" applyFont="1" applyFill="1" applyAlignment="1">
      <alignment horizontal="center" vertical="center"/>
    </xf>
    <xf numFmtId="3" fontId="42" fillId="0" borderId="0" xfId="32" applyNumberFormat="1" applyFont="1" applyAlignment="1">
      <alignment horizontal="center" vertical="center"/>
    </xf>
    <xf numFmtId="3" fontId="40" fillId="30" borderId="0" xfId="32" applyNumberFormat="1" applyFill="1" applyAlignment="1">
      <alignment horizontal="center" vertical="center"/>
    </xf>
    <xf numFmtId="9" fontId="16" fillId="17" borderId="7" xfId="32" applyNumberFormat="1" applyFont="1" applyFill="1" applyBorder="1" applyAlignment="1">
      <alignment horizontal="center"/>
    </xf>
    <xf numFmtId="3" fontId="40" fillId="17" borderId="58" xfId="32" applyNumberFormat="1" applyFill="1" applyBorder="1" applyAlignment="1">
      <alignment horizontal="center" vertical="center"/>
    </xf>
    <xf numFmtId="9" fontId="43" fillId="17" borderId="55" xfId="32" applyNumberFormat="1" applyFont="1" applyFill="1" applyBorder="1" applyAlignment="1">
      <alignment horizontal="center" vertical="center"/>
    </xf>
    <xf numFmtId="9" fontId="41" fillId="0" borderId="59" xfId="32" applyNumberFormat="1" applyFont="1" applyBorder="1" applyAlignment="1">
      <alignment horizontal="center" vertical="center"/>
    </xf>
    <xf numFmtId="9" fontId="47" fillId="0" borderId="58" xfId="32" applyNumberFormat="1" applyFont="1" applyBorder="1" applyAlignment="1">
      <alignment horizontal="center" vertical="center"/>
    </xf>
    <xf numFmtId="9" fontId="47" fillId="0" borderId="59" xfId="32" applyNumberFormat="1" applyFont="1" applyBorder="1" applyAlignment="1">
      <alignment horizontal="center" vertical="center"/>
    </xf>
    <xf numFmtId="9" fontId="48" fillId="0" borderId="58" xfId="32" applyNumberFormat="1" applyFont="1" applyBorder="1" applyAlignment="1">
      <alignment horizontal="center" vertical="center"/>
    </xf>
    <xf numFmtId="9" fontId="40" fillId="17" borderId="58" xfId="32" applyNumberFormat="1" applyFill="1" applyBorder="1" applyAlignment="1">
      <alignment horizontal="center" vertical="center"/>
    </xf>
    <xf numFmtId="9" fontId="40" fillId="17" borderId="59" xfId="32" applyNumberFormat="1" applyFill="1" applyBorder="1" applyAlignment="1">
      <alignment horizontal="center" vertical="center"/>
    </xf>
    <xf numFmtId="9" fontId="21" fillId="17" borderId="66" xfId="32" applyNumberFormat="1" applyFont="1" applyFill="1" applyBorder="1" applyAlignment="1">
      <alignment horizontal="center"/>
    </xf>
    <xf numFmtId="9" fontId="21" fillId="17" borderId="67" xfId="32" applyNumberFormat="1" applyFont="1" applyFill="1" applyBorder="1" applyAlignment="1">
      <alignment horizontal="center"/>
    </xf>
    <xf numFmtId="9" fontId="70" fillId="0" borderId="44" xfId="32" applyNumberFormat="1" applyFont="1" applyBorder="1" applyAlignment="1">
      <alignment horizontal="center"/>
    </xf>
    <xf numFmtId="3" fontId="44" fillId="16" borderId="74" xfId="32" applyNumberFormat="1" applyFont="1" applyFill="1" applyBorder="1" applyAlignment="1">
      <alignment horizontal="center" vertical="center"/>
    </xf>
    <xf numFmtId="9" fontId="45" fillId="0" borderId="71" xfId="32" applyNumberFormat="1" applyFont="1" applyBorder="1" applyAlignment="1">
      <alignment horizontal="center" vertical="center"/>
    </xf>
    <xf numFmtId="9" fontId="46" fillId="0" borderId="71" xfId="32" applyNumberFormat="1" applyFont="1" applyBorder="1" applyAlignment="1">
      <alignment horizontal="center" vertical="center"/>
    </xf>
    <xf numFmtId="9" fontId="40" fillId="0" borderId="71" xfId="32" applyNumberFormat="1" applyBorder="1" applyAlignment="1">
      <alignment horizontal="center" vertical="center"/>
    </xf>
    <xf numFmtId="9" fontId="42" fillId="17" borderId="71" xfId="32" applyNumberFormat="1" applyFont="1" applyFill="1" applyBorder="1" applyAlignment="1">
      <alignment horizontal="center" vertical="center"/>
    </xf>
    <xf numFmtId="3" fontId="42" fillId="0" borderId="71" xfId="32" applyNumberFormat="1" applyFont="1" applyBorder="1" applyAlignment="1">
      <alignment horizontal="center" vertical="center"/>
    </xf>
    <xf numFmtId="9" fontId="16" fillId="17" borderId="73" xfId="32" applyNumberFormat="1" applyFont="1" applyFill="1" applyBorder="1" applyAlignment="1">
      <alignment horizontal="center"/>
    </xf>
    <xf numFmtId="0" fontId="51" fillId="0" borderId="71" xfId="32" applyFont="1" applyBorder="1" applyAlignment="1">
      <alignment horizontal="center" vertical="center"/>
    </xf>
    <xf numFmtId="3" fontId="16" fillId="20" borderId="73" xfId="32" applyNumberFormat="1" applyFont="1" applyFill="1" applyBorder="1" applyAlignment="1">
      <alignment horizontal="center" vertical="center"/>
    </xf>
    <xf numFmtId="3" fontId="16" fillId="20" borderId="71" xfId="32" applyNumberFormat="1" applyFont="1" applyFill="1" applyBorder="1" applyAlignment="1">
      <alignment horizontal="center" vertical="center"/>
    </xf>
    <xf numFmtId="3" fontId="40" fillId="20" borderId="71" xfId="32" applyNumberFormat="1" applyFill="1" applyBorder="1" applyAlignment="1">
      <alignment horizontal="center" vertical="center"/>
    </xf>
    <xf numFmtId="0" fontId="40" fillId="0" borderId="71" xfId="32" applyBorder="1"/>
    <xf numFmtId="3" fontId="52" fillId="20" borderId="71" xfId="32" applyNumberFormat="1" applyFont="1" applyFill="1" applyBorder="1" applyAlignment="1">
      <alignment horizontal="center" vertical="center"/>
    </xf>
    <xf numFmtId="3" fontId="20" fillId="0" borderId="71" xfId="32" applyNumberFormat="1" applyFont="1" applyBorder="1" applyAlignment="1">
      <alignment horizontal="center" vertical="center"/>
    </xf>
    <xf numFmtId="3" fontId="16" fillId="17" borderId="71" xfId="32" applyNumberFormat="1" applyFont="1" applyFill="1" applyBorder="1" applyAlignment="1">
      <alignment horizontal="center" vertical="center"/>
    </xf>
    <xf numFmtId="3" fontId="53" fillId="17" borderId="71" xfId="32" applyNumberFormat="1" applyFont="1" applyFill="1" applyBorder="1" applyAlignment="1">
      <alignment horizontal="center" vertical="center"/>
    </xf>
    <xf numFmtId="9" fontId="16" fillId="20" borderId="71" xfId="32" applyNumberFormat="1" applyFont="1" applyFill="1" applyBorder="1" applyAlignment="1">
      <alignment horizontal="center" vertical="center"/>
    </xf>
    <xf numFmtId="9" fontId="40" fillId="20" borderId="71" xfId="32" applyNumberFormat="1" applyFill="1" applyBorder="1" applyAlignment="1">
      <alignment horizontal="center" vertical="center"/>
    </xf>
    <xf numFmtId="175" fontId="16" fillId="20" borderId="71" xfId="32" applyNumberFormat="1" applyFont="1" applyFill="1" applyBorder="1" applyAlignment="1">
      <alignment horizontal="center" vertical="center"/>
    </xf>
    <xf numFmtId="175" fontId="16" fillId="17" borderId="71" xfId="32" applyNumberFormat="1" applyFont="1" applyFill="1" applyBorder="1" applyAlignment="1">
      <alignment horizontal="center" vertical="center"/>
    </xf>
    <xf numFmtId="0" fontId="51" fillId="0" borderId="59" xfId="32" applyFont="1" applyBorder="1" applyAlignment="1">
      <alignment horizontal="center" vertical="center"/>
    </xf>
    <xf numFmtId="0" fontId="51" fillId="0" borderId="0" xfId="32" applyFont="1" applyAlignment="1">
      <alignment horizontal="center" vertical="center"/>
    </xf>
    <xf numFmtId="3" fontId="16" fillId="20" borderId="7" xfId="32" applyNumberFormat="1" applyFont="1" applyFill="1" applyBorder="1" applyAlignment="1">
      <alignment horizontal="center" vertical="center"/>
    </xf>
    <xf numFmtId="3" fontId="16" fillId="20" borderId="0" xfId="32" applyNumberFormat="1" applyFont="1" applyFill="1" applyAlignment="1">
      <alignment horizontal="center" vertical="center"/>
    </xf>
    <xf numFmtId="3" fontId="40" fillId="20" borderId="0" xfId="32" applyNumberFormat="1" applyFill="1" applyAlignment="1">
      <alignment horizontal="center" vertical="center"/>
    </xf>
    <xf numFmtId="3" fontId="52" fillId="20" borderId="0" xfId="32" applyNumberFormat="1" applyFont="1" applyFill="1" applyAlignment="1">
      <alignment horizontal="center" vertical="center"/>
    </xf>
    <xf numFmtId="3" fontId="20" fillId="0" borderId="0" xfId="32" applyNumberFormat="1" applyFont="1" applyAlignment="1">
      <alignment horizontal="center" vertical="center"/>
    </xf>
    <xf numFmtId="3" fontId="16" fillId="17" borderId="0" xfId="32" applyNumberFormat="1" applyFont="1" applyFill="1" applyAlignment="1">
      <alignment horizontal="center" vertical="center"/>
    </xf>
    <xf numFmtId="3" fontId="53" fillId="17" borderId="0" xfId="32" applyNumberFormat="1" applyFont="1" applyFill="1" applyAlignment="1">
      <alignment horizontal="center" vertical="center"/>
    </xf>
    <xf numFmtId="9" fontId="16" fillId="20" borderId="0" xfId="32" applyNumberFormat="1" applyFont="1" applyFill="1" applyAlignment="1">
      <alignment horizontal="center" vertical="center"/>
    </xf>
    <xf numFmtId="9" fontId="40" fillId="20" borderId="0" xfId="32" applyNumberFormat="1" applyFill="1" applyAlignment="1">
      <alignment horizontal="center" vertical="center"/>
    </xf>
    <xf numFmtId="175" fontId="16" fillId="20" borderId="0" xfId="32" applyNumberFormat="1" applyFont="1" applyFill="1" applyAlignment="1">
      <alignment horizontal="center" vertical="center"/>
    </xf>
    <xf numFmtId="175" fontId="16" fillId="17" borderId="0" xfId="32" applyNumberFormat="1" applyFont="1" applyFill="1" applyAlignment="1">
      <alignment horizontal="center" vertical="center"/>
    </xf>
    <xf numFmtId="0" fontId="51" fillId="0" borderId="58" xfId="32" applyFont="1" applyBorder="1" applyAlignment="1">
      <alignment horizontal="center"/>
    </xf>
    <xf numFmtId="17" fontId="40" fillId="15" borderId="63" xfId="32" applyNumberFormat="1" applyFill="1" applyBorder="1" applyAlignment="1">
      <alignment horizontal="center" vertical="center"/>
    </xf>
    <xf numFmtId="17" fontId="40" fillId="15" borderId="56" xfId="32" applyNumberFormat="1" applyFill="1" applyBorder="1" applyAlignment="1">
      <alignment horizontal="center" vertical="center"/>
    </xf>
    <xf numFmtId="0" fontId="40" fillId="15" borderId="68" xfId="32" applyFill="1" applyBorder="1" applyAlignment="1">
      <alignment horizontal="center" vertical="center"/>
    </xf>
    <xf numFmtId="166" fontId="0" fillId="0" borderId="0" xfId="35" applyFont="1"/>
    <xf numFmtId="1" fontId="50" fillId="0" borderId="0" xfId="32" applyNumberFormat="1" applyFont="1" applyAlignment="1">
      <alignment horizontal="center"/>
    </xf>
    <xf numFmtId="0" fontId="40" fillId="19" borderId="11" xfId="32" applyFill="1" applyBorder="1" applyAlignment="1">
      <alignment horizontal="center" vertical="center"/>
    </xf>
    <xf numFmtId="1" fontId="19" fillId="0" borderId="10" xfId="32" applyNumberFormat="1" applyFont="1" applyBorder="1" applyAlignment="1">
      <alignment horizontal="center" vertical="center"/>
    </xf>
    <xf numFmtId="174" fontId="50" fillId="0" borderId="10" xfId="32" applyNumberFormat="1" applyFont="1" applyBorder="1" applyAlignment="1">
      <alignment horizontal="center"/>
    </xf>
    <xf numFmtId="0" fontId="40" fillId="28" borderId="0" xfId="32" applyFill="1" applyAlignment="1">
      <alignment horizontal="center" vertical="center"/>
    </xf>
    <xf numFmtId="172" fontId="19" fillId="28" borderId="0" xfId="32" applyNumberFormat="1" applyFont="1" applyFill="1" applyAlignment="1">
      <alignment horizontal="center" vertical="center"/>
    </xf>
    <xf numFmtId="9" fontId="42" fillId="0" borderId="0" xfId="32" applyNumberFormat="1" applyFont="1" applyAlignment="1">
      <alignment horizontal="center"/>
    </xf>
    <xf numFmtId="174" fontId="16" fillId="33" borderId="75" xfId="32" applyNumberFormat="1" applyFont="1" applyFill="1" applyBorder="1" applyAlignment="1">
      <alignment horizontal="center"/>
    </xf>
    <xf numFmtId="17" fontId="40" fillId="29" borderId="56" xfId="32" applyNumberFormat="1" applyFill="1" applyBorder="1" applyAlignment="1">
      <alignment horizontal="center" vertical="center"/>
    </xf>
    <xf numFmtId="174" fontId="16" fillId="33" borderId="76" xfId="32" applyNumberFormat="1" applyFont="1" applyFill="1" applyBorder="1" applyAlignment="1">
      <alignment horizontal="center"/>
    </xf>
    <xf numFmtId="0" fontId="40" fillId="0" borderId="0" xfId="32" applyAlignment="1">
      <alignment horizontal="center"/>
    </xf>
    <xf numFmtId="0" fontId="40" fillId="28" borderId="0" xfId="32" applyFill="1"/>
    <xf numFmtId="0" fontId="82" fillId="28" borderId="0" xfId="32" applyFont="1" applyFill="1"/>
    <xf numFmtId="174" fontId="16" fillId="0" borderId="0" xfId="32" applyNumberFormat="1" applyFont="1" applyAlignment="1">
      <alignment horizontal="center"/>
    </xf>
    <xf numFmtId="3" fontId="79" fillId="0" borderId="1" xfId="32" applyNumberFormat="1" applyFont="1" applyBorder="1" applyAlignment="1">
      <alignment horizontal="center" vertical="center"/>
    </xf>
    <xf numFmtId="0" fontId="79" fillId="15" borderId="1" xfId="32" applyFont="1" applyFill="1" applyBorder="1" applyAlignment="1">
      <alignment horizontal="center" vertical="center"/>
    </xf>
    <xf numFmtId="0" fontId="84" fillId="0" borderId="0" xfId="32" applyFont="1" applyAlignment="1">
      <alignment horizontal="center" vertical="center"/>
    </xf>
    <xf numFmtId="3" fontId="87" fillId="0" borderId="0" xfId="32" applyNumberFormat="1" applyFont="1" applyAlignment="1">
      <alignment horizontal="center" vertical="center"/>
    </xf>
    <xf numFmtId="3" fontId="56" fillId="0" borderId="0" xfId="32" applyNumberFormat="1" applyFont="1" applyAlignment="1">
      <alignment horizontal="center" vertical="center"/>
    </xf>
    <xf numFmtId="0" fontId="40" fillId="0" borderId="37" xfId="32" applyBorder="1"/>
    <xf numFmtId="2" fontId="85" fillId="0" borderId="71" xfId="32" applyNumberFormat="1" applyFont="1" applyBorder="1" applyAlignment="1">
      <alignment horizontal="center"/>
    </xf>
    <xf numFmtId="167" fontId="0" fillId="36" borderId="0" xfId="0" applyNumberFormat="1" applyFill="1" applyAlignment="1">
      <alignment horizontal="center"/>
    </xf>
    <xf numFmtId="168" fontId="89" fillId="0" borderId="0" xfId="33" applyNumberFormat="1" applyFont="1"/>
    <xf numFmtId="0" fontId="89" fillId="0" borderId="0" xfId="0" applyFont="1"/>
    <xf numFmtId="0" fontId="89" fillId="0" borderId="0" xfId="0" applyFont="1" applyAlignment="1">
      <alignment horizontal="center"/>
    </xf>
    <xf numFmtId="187" fontId="0" fillId="6" borderId="3" xfId="0" applyNumberFormat="1" applyFill="1" applyBorder="1" applyAlignment="1">
      <alignment horizontal="center"/>
    </xf>
    <xf numFmtId="187" fontId="0" fillId="3" borderId="3" xfId="0" applyNumberFormat="1" applyFill="1" applyBorder="1" applyAlignment="1">
      <alignment horizontal="center"/>
    </xf>
    <xf numFmtId="0" fontId="3" fillId="26" borderId="1" xfId="0" applyFont="1" applyFill="1" applyBorder="1" applyAlignment="1">
      <alignment horizontal="left"/>
    </xf>
    <xf numFmtId="0" fontId="3" fillId="26" borderId="1" xfId="0" applyFont="1" applyFill="1" applyBorder="1" applyAlignment="1">
      <alignment horizontal="center"/>
    </xf>
    <xf numFmtId="0" fontId="0" fillId="26" borderId="3" xfId="0" applyFill="1" applyBorder="1" applyAlignment="1">
      <alignment horizontal="left" indent="1"/>
    </xf>
    <xf numFmtId="185" fontId="0" fillId="26" borderId="3" xfId="0" applyNumberFormat="1" applyFill="1" applyBorder="1" applyAlignment="1">
      <alignment horizontal="center"/>
    </xf>
    <xf numFmtId="186" fontId="0" fillId="26" borderId="3" xfId="0" applyNumberFormat="1" applyFill="1" applyBorder="1" applyAlignment="1">
      <alignment horizontal="center"/>
    </xf>
    <xf numFmtId="170" fontId="0" fillId="26" borderId="3" xfId="0" applyNumberFormat="1" applyFill="1" applyBorder="1" applyAlignment="1">
      <alignment horizontal="center"/>
    </xf>
    <xf numFmtId="188" fontId="0" fillId="26" borderId="3" xfId="0" applyNumberFormat="1" applyFill="1" applyBorder="1" applyAlignment="1">
      <alignment horizontal="center"/>
    </xf>
    <xf numFmtId="0" fontId="91" fillId="0" borderId="0" xfId="0" applyFont="1" applyAlignment="1">
      <alignment horizontal="left" vertical="top" indent="1"/>
    </xf>
    <xf numFmtId="167" fontId="0" fillId="25" borderId="43" xfId="0" applyNumberFormat="1" applyFill="1" applyBorder="1" applyAlignment="1">
      <alignment horizontal="center"/>
    </xf>
    <xf numFmtId="167" fontId="0" fillId="25" borderId="35" xfId="0" applyNumberFormat="1" applyFill="1" applyBorder="1" applyAlignment="1">
      <alignment horizontal="center"/>
    </xf>
    <xf numFmtId="167" fontId="0" fillId="25" borderId="0" xfId="0" applyNumberFormat="1" applyFill="1" applyAlignment="1">
      <alignment horizontal="center"/>
    </xf>
    <xf numFmtId="167" fontId="0" fillId="25" borderId="36" xfId="0" applyNumberFormat="1" applyFill="1" applyBorder="1" applyAlignment="1">
      <alignment horizontal="center"/>
    </xf>
    <xf numFmtId="167" fontId="0" fillId="25" borderId="44" xfId="0" applyNumberFormat="1" applyFill="1" applyBorder="1" applyAlignment="1">
      <alignment horizontal="center"/>
    </xf>
    <xf numFmtId="167" fontId="0" fillId="25" borderId="37" xfId="0" applyNumberFormat="1" applyFill="1" applyBorder="1" applyAlignment="1">
      <alignment horizontal="center"/>
    </xf>
    <xf numFmtId="0" fontId="92" fillId="0" borderId="0" xfId="0" applyFont="1" applyAlignment="1">
      <alignment horizontal="left"/>
    </xf>
    <xf numFmtId="0" fontId="93" fillId="0" borderId="0" xfId="32" applyFont="1"/>
    <xf numFmtId="0" fontId="93" fillId="0" borderId="0" xfId="32" applyFont="1" applyAlignment="1">
      <alignment horizontal="right"/>
    </xf>
    <xf numFmtId="9" fontId="93" fillId="0" borderId="0" xfId="33" applyFont="1" applyAlignment="1">
      <alignment horizontal="center"/>
    </xf>
    <xf numFmtId="0" fontId="93" fillId="0" borderId="0" xfId="32" applyFont="1" applyAlignment="1">
      <alignment horizontal="center"/>
    </xf>
    <xf numFmtId="174" fontId="93" fillId="0" borderId="0" xfId="32" applyNumberFormat="1" applyFont="1" applyAlignment="1">
      <alignment horizontal="center"/>
    </xf>
    <xf numFmtId="0" fontId="3" fillId="32" borderId="0" xfId="0" applyFont="1" applyFill="1" applyAlignment="1">
      <alignment vertical="center"/>
    </xf>
    <xf numFmtId="184" fontId="3" fillId="32" borderId="0" xfId="0" applyNumberFormat="1" applyFont="1" applyFill="1" applyAlignment="1">
      <alignment horizontal="center" vertical="center" wrapText="1"/>
    </xf>
    <xf numFmtId="183" fontId="3" fillId="32" borderId="0" xfId="0" quotePrefix="1" applyNumberFormat="1" applyFont="1" applyFill="1" applyAlignment="1">
      <alignment horizontal="center" vertical="center" wrapText="1"/>
    </xf>
    <xf numFmtId="0" fontId="0" fillId="0" borderId="9" xfId="0" applyBorder="1"/>
    <xf numFmtId="0" fontId="0" fillId="0" borderId="8" xfId="0" applyBorder="1"/>
    <xf numFmtId="177" fontId="94" fillId="0" borderId="7" xfId="0" applyNumberFormat="1" applyFont="1" applyBorder="1" applyAlignment="1">
      <alignment horizontal="center"/>
    </xf>
    <xf numFmtId="0" fontId="63" fillId="0" borderId="0" xfId="0" applyFont="1"/>
    <xf numFmtId="0" fontId="95" fillId="0" borderId="0" xfId="32" applyFont="1" applyAlignment="1">
      <alignment horizontal="center"/>
    </xf>
    <xf numFmtId="0" fontId="95" fillId="0" borderId="70" xfId="32" applyFont="1" applyBorder="1"/>
    <xf numFmtId="0" fontId="95" fillId="0" borderId="43" xfId="32" applyFont="1" applyBorder="1"/>
    <xf numFmtId="0" fontId="96" fillId="0" borderId="77" xfId="32" applyFont="1" applyBorder="1"/>
    <xf numFmtId="0" fontId="95" fillId="0" borderId="71" xfId="32" applyFont="1" applyBorder="1" applyAlignment="1">
      <alignment horizontal="center"/>
    </xf>
    <xf numFmtId="0" fontId="95" fillId="0" borderId="36" xfId="32" applyFont="1" applyBorder="1" applyAlignment="1">
      <alignment horizontal="center"/>
    </xf>
    <xf numFmtId="0" fontId="96" fillId="0" borderId="72" xfId="32" applyFont="1" applyBorder="1"/>
    <xf numFmtId="0" fontId="95" fillId="0" borderId="44" xfId="32" applyFont="1" applyBorder="1" applyAlignment="1">
      <alignment horizontal="center"/>
    </xf>
    <xf numFmtId="0" fontId="96" fillId="0" borderId="44" xfId="32" applyFont="1" applyBorder="1"/>
    <xf numFmtId="0" fontId="96" fillId="0" borderId="37" xfId="32" applyFont="1" applyBorder="1"/>
    <xf numFmtId="0" fontId="0" fillId="32" borderId="0" xfId="0" applyFill="1" applyAlignment="1">
      <alignment horizontal="center"/>
    </xf>
    <xf numFmtId="0" fontId="65" fillId="37" borderId="0" xfId="0" applyFont="1" applyFill="1" applyAlignment="1">
      <alignment horizontal="center"/>
    </xf>
    <xf numFmtId="0" fontId="0" fillId="37" borderId="0" xfId="0" applyFill="1"/>
    <xf numFmtId="0" fontId="99" fillId="0" borderId="0" xfId="0" applyFont="1"/>
    <xf numFmtId="0" fontId="0" fillId="0" borderId="0" xfId="0" applyAlignment="1">
      <alignment horizontal="right" vertical="center"/>
    </xf>
    <xf numFmtId="9" fontId="0" fillId="0" borderId="0" xfId="0" applyNumberFormat="1"/>
    <xf numFmtId="2" fontId="0" fillId="0" borderId="0" xfId="0" applyNumberFormat="1"/>
    <xf numFmtId="172" fontId="0" fillId="0" borderId="0" xfId="0" applyNumberFormat="1"/>
    <xf numFmtId="9" fontId="100" fillId="0" borderId="0" xfId="0" applyNumberFormat="1" applyFont="1"/>
    <xf numFmtId="0" fontId="102" fillId="0" borderId="0" xfId="36" applyFont="1"/>
    <xf numFmtId="0" fontId="101" fillId="0" borderId="0" xfId="36"/>
    <xf numFmtId="189" fontId="101" fillId="0" borderId="0" xfId="36" applyNumberFormat="1"/>
    <xf numFmtId="11" fontId="101" fillId="0" borderId="0" xfId="36" applyNumberFormat="1"/>
    <xf numFmtId="168" fontId="101" fillId="0" borderId="0" xfId="36" applyNumberFormat="1"/>
    <xf numFmtId="172" fontId="101" fillId="0" borderId="0" xfId="36" applyNumberFormat="1"/>
    <xf numFmtId="2" fontId="101" fillId="0" borderId="0" xfId="36" applyNumberFormat="1"/>
    <xf numFmtId="0" fontId="102" fillId="38" borderId="78" xfId="36" applyFont="1" applyFill="1" applyBorder="1"/>
    <xf numFmtId="0" fontId="102" fillId="38" borderId="79" xfId="36" applyFont="1" applyFill="1" applyBorder="1"/>
    <xf numFmtId="0" fontId="102" fillId="38" borderId="80" xfId="36" applyFont="1" applyFill="1" applyBorder="1"/>
    <xf numFmtId="0" fontId="101" fillId="0" borderId="81" xfId="36" applyBorder="1"/>
    <xf numFmtId="0" fontId="105" fillId="0" borderId="0" xfId="36" applyFont="1"/>
    <xf numFmtId="0" fontId="101" fillId="0" borderId="82" xfId="36" applyBorder="1"/>
    <xf numFmtId="172" fontId="106" fillId="0" borderId="0" xfId="36" applyNumberFormat="1" applyFont="1"/>
    <xf numFmtId="0" fontId="106" fillId="0" borderId="0" xfId="36" applyFont="1"/>
    <xf numFmtId="172" fontId="107" fillId="0" borderId="0" xfId="36" applyNumberFormat="1" applyFont="1"/>
    <xf numFmtId="0" fontId="107" fillId="0" borderId="0" xfId="36" applyFont="1"/>
    <xf numFmtId="1" fontId="106" fillId="0" borderId="0" xfId="36" applyNumberFormat="1" applyFont="1"/>
    <xf numFmtId="1" fontId="108" fillId="0" borderId="0" xfId="36" applyNumberFormat="1" applyFont="1"/>
    <xf numFmtId="0" fontId="108" fillId="0" borderId="0" xfId="36" applyFont="1"/>
    <xf numFmtId="9" fontId="106" fillId="0" borderId="81" xfId="36" applyNumberFormat="1" applyFont="1" applyBorder="1"/>
    <xf numFmtId="0" fontId="109" fillId="0" borderId="0" xfId="36" applyFont="1"/>
    <xf numFmtId="172" fontId="108" fillId="0" borderId="0" xfId="36" applyNumberFormat="1" applyFont="1"/>
    <xf numFmtId="172" fontId="110" fillId="0" borderId="0" xfId="36" applyNumberFormat="1" applyFont="1"/>
    <xf numFmtId="0" fontId="110" fillId="0" borderId="0" xfId="36" applyFont="1"/>
    <xf numFmtId="0" fontId="101" fillId="0" borderId="83" xfId="36" applyBorder="1"/>
    <xf numFmtId="0" fontId="101" fillId="0" borderId="84" xfId="36" applyBorder="1"/>
    <xf numFmtId="0" fontId="101" fillId="0" borderId="85" xfId="36" applyBorder="1"/>
    <xf numFmtId="0" fontId="102" fillId="0" borderId="0" xfId="38" applyFont="1"/>
    <xf numFmtId="0" fontId="101" fillId="0" borderId="0" xfId="38" applyFont="1"/>
    <xf numFmtId="172" fontId="101" fillId="0" borderId="0" xfId="38" applyNumberFormat="1" applyFont="1"/>
    <xf numFmtId="0" fontId="103" fillId="0" borderId="0" xfId="37"/>
    <xf numFmtId="0" fontId="24" fillId="0" borderId="0" xfId="38"/>
    <xf numFmtId="172" fontId="24" fillId="14" borderId="0" xfId="38" applyNumberFormat="1" applyFill="1"/>
    <xf numFmtId="9" fontId="24" fillId="14" borderId="0" xfId="39" applyFont="1" applyFill="1" applyBorder="1" applyProtection="1"/>
    <xf numFmtId="172" fontId="24" fillId="0" borderId="0" xfId="38" applyNumberFormat="1"/>
    <xf numFmtId="174" fontId="112" fillId="14" borderId="86" xfId="38" applyNumberFormat="1" applyFont="1" applyFill="1" applyBorder="1"/>
    <xf numFmtId="172" fontId="103" fillId="0" borderId="0" xfId="37" applyNumberFormat="1"/>
    <xf numFmtId="0" fontId="24" fillId="0" borderId="0" xfId="38" applyAlignment="1">
      <alignment horizontal="right"/>
    </xf>
    <xf numFmtId="174" fontId="103" fillId="0" borderId="0" xfId="37" applyNumberFormat="1"/>
    <xf numFmtId="2" fontId="13" fillId="0" borderId="0" xfId="0" applyNumberFormat="1" applyFont="1"/>
    <xf numFmtId="0" fontId="115" fillId="0" borderId="0" xfId="0" applyFont="1"/>
    <xf numFmtId="0" fontId="26" fillId="28" borderId="0" xfId="0" applyFont="1" applyFill="1"/>
    <xf numFmtId="174" fontId="26" fillId="28" borderId="0" xfId="0" applyNumberFormat="1" applyFont="1" applyFill="1"/>
    <xf numFmtId="172" fontId="26" fillId="28" borderId="0" xfId="0" applyNumberFormat="1" applyFont="1" applyFill="1"/>
    <xf numFmtId="0" fontId="0" fillId="28" borderId="0" xfId="0" applyFill="1"/>
    <xf numFmtId="9" fontId="99" fillId="0" borderId="0" xfId="0" applyNumberFormat="1" applyFont="1"/>
    <xf numFmtId="0" fontId="117" fillId="0" borderId="0" xfId="0" applyFont="1"/>
    <xf numFmtId="168" fontId="0" fillId="0" borderId="0" xfId="33" applyNumberFormat="1" applyFont="1"/>
    <xf numFmtId="168" fontId="115" fillId="0" borderId="0" xfId="33" applyNumberFormat="1" applyFont="1"/>
    <xf numFmtId="1" fontId="115" fillId="0" borderId="0" xfId="0" applyNumberFormat="1" applyFont="1"/>
    <xf numFmtId="172" fontId="115" fillId="0" borderId="0" xfId="0" applyNumberFormat="1" applyFont="1"/>
    <xf numFmtId="0" fontId="0" fillId="40" borderId="0" xfId="0" applyFill="1"/>
    <xf numFmtId="0" fontId="26" fillId="40" borderId="0" xfId="0" applyFont="1" applyFill="1"/>
    <xf numFmtId="172" fontId="26" fillId="40" borderId="0" xfId="0" applyNumberFormat="1" applyFont="1" applyFill="1"/>
    <xf numFmtId="1" fontId="0" fillId="40" borderId="0" xfId="0" applyNumberFormat="1" applyFill="1"/>
    <xf numFmtId="2" fontId="0" fillId="40" borderId="0" xfId="0" applyNumberFormat="1" applyFill="1"/>
    <xf numFmtId="2" fontId="26" fillId="28" borderId="0" xfId="0" applyNumberFormat="1" applyFont="1" applyFill="1"/>
    <xf numFmtId="0" fontId="115" fillId="40" borderId="0" xfId="0" applyFont="1" applyFill="1"/>
    <xf numFmtId="0" fontId="26" fillId="40" borderId="0" xfId="0" applyFont="1" applyFill="1" applyAlignment="1">
      <alignment horizontal="right"/>
    </xf>
    <xf numFmtId="172" fontId="26" fillId="0" borderId="0" xfId="0" applyNumberFormat="1" applyFont="1"/>
    <xf numFmtId="9" fontId="118" fillId="0" borderId="0" xfId="33" applyFont="1"/>
    <xf numFmtId="0" fontId="64" fillId="0" borderId="0" xfId="0" applyFont="1"/>
    <xf numFmtId="193" fontId="0" fillId="0" borderId="0" xfId="0" applyNumberFormat="1" applyAlignment="1">
      <alignment horizontal="center"/>
    </xf>
    <xf numFmtId="194" fontId="0" fillId="0" borderId="0" xfId="0" applyNumberFormat="1" applyAlignment="1">
      <alignment horizontal="center"/>
    </xf>
    <xf numFmtId="192" fontId="0" fillId="0" borderId="0" xfId="0" applyNumberFormat="1" applyAlignment="1">
      <alignment horizontal="center"/>
    </xf>
    <xf numFmtId="195" fontId="0" fillId="0" borderId="0" xfId="0" applyNumberFormat="1" applyAlignment="1">
      <alignment horizontal="center"/>
    </xf>
    <xf numFmtId="0" fontId="0" fillId="43" borderId="0" xfId="0" applyFill="1" applyAlignment="1">
      <alignment horizontal="center"/>
    </xf>
    <xf numFmtId="0" fontId="0" fillId="44" borderId="0" xfId="0" applyFill="1" applyAlignment="1">
      <alignment horizontal="center"/>
    </xf>
    <xf numFmtId="0" fontId="0" fillId="26" borderId="0" xfId="0" applyFill="1" applyAlignment="1">
      <alignment horizontal="center"/>
    </xf>
    <xf numFmtId="0" fontId="0" fillId="26" borderId="0" xfId="0" applyFill="1" applyAlignment="1">
      <alignment horizontal="center" wrapText="1"/>
    </xf>
    <xf numFmtId="196" fontId="0" fillId="0" borderId="0" xfId="0" applyNumberFormat="1" applyAlignment="1">
      <alignment horizontal="center"/>
    </xf>
    <xf numFmtId="0" fontId="0" fillId="26" borderId="0" xfId="0" quotePrefix="1" applyFill="1" applyAlignment="1">
      <alignment horizontal="center"/>
    </xf>
    <xf numFmtId="195" fontId="0" fillId="46" borderId="0" xfId="0" applyNumberFormat="1" applyFill="1"/>
    <xf numFmtId="197" fontId="0" fillId="0" borderId="0" xfId="0" applyNumberFormat="1" applyAlignment="1">
      <alignment horizontal="center"/>
    </xf>
    <xf numFmtId="198" fontId="0" fillId="0" borderId="0" xfId="0" applyNumberFormat="1" applyAlignment="1">
      <alignment horizontal="center"/>
    </xf>
    <xf numFmtId="188" fontId="0" fillId="0" borderId="0" xfId="0" applyNumberFormat="1" applyAlignment="1">
      <alignment horizontal="center"/>
    </xf>
    <xf numFmtId="0" fontId="26" fillId="0" borderId="0" xfId="0" applyFont="1" applyAlignment="1">
      <alignment vertical="center"/>
    </xf>
    <xf numFmtId="0" fontId="0" fillId="43" borderId="0" xfId="0" applyFill="1" applyAlignment="1">
      <alignment horizontal="center" vertical="center"/>
    </xf>
    <xf numFmtId="0" fontId="0" fillId="44" borderId="0" xfId="0" applyFill="1" applyAlignment="1">
      <alignment horizontal="center" vertical="center"/>
    </xf>
    <xf numFmtId="0" fontId="120" fillId="0" borderId="0" xfId="0" applyFont="1"/>
    <xf numFmtId="0" fontId="120" fillId="0" borderId="0" xfId="0" applyFont="1" applyAlignment="1">
      <alignment horizontal="center"/>
    </xf>
    <xf numFmtId="199" fontId="91" fillId="0" borderId="0" xfId="0" applyNumberFormat="1" applyFont="1" applyAlignment="1">
      <alignment horizontal="left" vertical="top"/>
    </xf>
    <xf numFmtId="0" fontId="40" fillId="15" borderId="16" xfId="32" applyFill="1" applyBorder="1" applyAlignment="1">
      <alignment horizontal="center" vertical="center"/>
    </xf>
    <xf numFmtId="0" fontId="118" fillId="0" borderId="0" xfId="0" applyFont="1"/>
    <xf numFmtId="172" fontId="116" fillId="0" borderId="0" xfId="0" applyNumberFormat="1" applyFont="1"/>
    <xf numFmtId="0" fontId="122" fillId="47" borderId="0" xfId="0" applyFont="1" applyFill="1" applyAlignment="1">
      <alignment vertical="center"/>
    </xf>
    <xf numFmtId="2" fontId="80" fillId="0" borderId="0" xfId="0" applyNumberFormat="1" applyFont="1"/>
    <xf numFmtId="0" fontId="80" fillId="0" borderId="0" xfId="0" applyFont="1"/>
    <xf numFmtId="0" fontId="16" fillId="15" borderId="87" xfId="32" applyFont="1" applyFill="1" applyBorder="1" applyAlignment="1">
      <alignment horizontal="right" vertical="center" indent="1"/>
    </xf>
    <xf numFmtId="3" fontId="83" fillId="0" borderId="1" xfId="32" applyNumberFormat="1" applyFont="1" applyBorder="1" applyAlignment="1">
      <alignment horizontal="center" vertical="center"/>
    </xf>
    <xf numFmtId="0" fontId="123" fillId="0" borderId="0" xfId="32" applyFont="1" applyAlignment="1">
      <alignment horizontal="center"/>
    </xf>
    <xf numFmtId="175" fontId="77" fillId="0" borderId="1" xfId="32" applyNumberFormat="1" applyFont="1" applyBorder="1" applyAlignment="1">
      <alignment horizontal="center" vertical="center"/>
    </xf>
    <xf numFmtId="9" fontId="83" fillId="0" borderId="1" xfId="33" applyFont="1" applyBorder="1" applyAlignment="1">
      <alignment horizontal="center" vertical="center"/>
    </xf>
    <xf numFmtId="9" fontId="123" fillId="0" borderId="0" xfId="32" applyNumberFormat="1" applyFont="1" applyAlignment="1">
      <alignment horizontal="center"/>
    </xf>
    <xf numFmtId="9" fontId="77" fillId="0" borderId="1" xfId="33" applyFont="1" applyBorder="1" applyAlignment="1">
      <alignment horizontal="center" vertical="center"/>
    </xf>
    <xf numFmtId="9" fontId="71" fillId="0" borderId="71" xfId="33" applyFont="1" applyBorder="1" applyAlignment="1">
      <alignment horizontal="center" vertical="center"/>
    </xf>
    <xf numFmtId="9" fontId="71" fillId="0" borderId="58" xfId="33" applyFont="1" applyBorder="1" applyAlignment="1">
      <alignment horizontal="center" vertical="center"/>
    </xf>
    <xf numFmtId="9" fontId="71" fillId="0" borderId="59" xfId="33" applyFont="1" applyBorder="1" applyAlignment="1">
      <alignment horizontal="center" vertical="center"/>
    </xf>
    <xf numFmtId="1" fontId="123" fillId="0" borderId="0" xfId="32" applyNumberFormat="1" applyFont="1" applyAlignment="1">
      <alignment horizontal="center"/>
    </xf>
    <xf numFmtId="0" fontId="72" fillId="15" borderId="63" xfId="32" applyFont="1" applyFill="1" applyBorder="1" applyAlignment="1">
      <alignment horizontal="center" vertical="center"/>
    </xf>
    <xf numFmtId="174" fontId="16" fillId="33" borderId="87" xfId="32" applyNumberFormat="1" applyFont="1" applyFill="1" applyBorder="1" applyAlignment="1">
      <alignment horizontal="center"/>
    </xf>
    <xf numFmtId="174" fontId="75" fillId="33" borderId="87" xfId="32" applyNumberFormat="1" applyFont="1" applyFill="1" applyBorder="1" applyAlignment="1">
      <alignment horizontal="center"/>
    </xf>
    <xf numFmtId="0" fontId="40" fillId="0" borderId="72" xfId="32" applyBorder="1"/>
    <xf numFmtId="17" fontId="40" fillId="29" borderId="34" xfId="32" applyNumberFormat="1" applyFill="1" applyBorder="1" applyAlignment="1">
      <alignment horizontal="center" vertical="center"/>
    </xf>
    <xf numFmtId="3" fontId="42" fillId="0" borderId="52" xfId="32" applyNumberFormat="1" applyFont="1" applyBorder="1" applyAlignment="1">
      <alignment horizontal="center" vertical="center"/>
    </xf>
    <xf numFmtId="3" fontId="42" fillId="0" borderId="34" xfId="32" applyNumberFormat="1" applyFont="1" applyBorder="1" applyAlignment="1">
      <alignment horizontal="center" vertical="center"/>
    </xf>
    <xf numFmtId="9" fontId="71" fillId="0" borderId="52" xfId="33" applyFont="1" applyBorder="1" applyAlignment="1">
      <alignment horizontal="center" vertical="center"/>
    </xf>
    <xf numFmtId="3" fontId="44" fillId="16" borderId="90" xfId="32" applyNumberFormat="1" applyFont="1" applyFill="1" applyBorder="1" applyAlignment="1">
      <alignment horizontal="center" vertical="center"/>
    </xf>
    <xf numFmtId="9" fontId="45" fillId="0" borderId="52" xfId="32" applyNumberFormat="1" applyFont="1" applyBorder="1" applyAlignment="1">
      <alignment horizontal="center" vertical="center"/>
    </xf>
    <xf numFmtId="9" fontId="46" fillId="0" borderId="52" xfId="32" applyNumberFormat="1" applyFont="1" applyBorder="1" applyAlignment="1">
      <alignment horizontal="center" vertical="center"/>
    </xf>
    <xf numFmtId="9" fontId="40" fillId="0" borderId="52" xfId="32" applyNumberFormat="1" applyBorder="1" applyAlignment="1">
      <alignment horizontal="center" vertical="center"/>
    </xf>
    <xf numFmtId="9" fontId="42" fillId="17" borderId="52" xfId="32" applyNumberFormat="1" applyFont="1" applyFill="1" applyBorder="1" applyAlignment="1">
      <alignment horizontal="center" vertical="center"/>
    </xf>
    <xf numFmtId="3" fontId="40" fillId="30" borderId="52" xfId="32" applyNumberFormat="1" applyFill="1" applyBorder="1" applyAlignment="1">
      <alignment horizontal="center" vertical="center"/>
    </xf>
    <xf numFmtId="9" fontId="16" fillId="17" borderId="91" xfId="32" applyNumberFormat="1" applyFont="1" applyFill="1" applyBorder="1" applyAlignment="1">
      <alignment horizontal="center"/>
    </xf>
    <xf numFmtId="9" fontId="70" fillId="0" borderId="34" xfId="32" applyNumberFormat="1" applyFont="1" applyBorder="1" applyAlignment="1">
      <alignment horizontal="center"/>
    </xf>
    <xf numFmtId="0" fontId="62" fillId="0" borderId="0" xfId="0" applyFont="1"/>
    <xf numFmtId="0" fontId="115" fillId="0" borderId="0" xfId="0" applyFont="1" applyAlignment="1">
      <alignment horizontal="center"/>
    </xf>
    <xf numFmtId="0" fontId="0" fillId="0" borderId="0" xfId="0" applyAlignment="1">
      <alignment horizontal="right"/>
    </xf>
    <xf numFmtId="9" fontId="0" fillId="0" borderId="0" xfId="0" applyNumberFormat="1" applyAlignment="1">
      <alignment horizontal="center"/>
    </xf>
    <xf numFmtId="0" fontId="62" fillId="0" borderId="0" xfId="0" applyFont="1" applyAlignment="1">
      <alignment horizontal="right"/>
    </xf>
    <xf numFmtId="0" fontId="16" fillId="15" borderId="63" xfId="32" applyFont="1" applyFill="1" applyBorder="1" applyAlignment="1">
      <alignment horizontal="center" vertical="center"/>
    </xf>
    <xf numFmtId="0" fontId="26" fillId="0" borderId="0" xfId="0" applyFont="1" applyAlignment="1">
      <alignment horizontal="center"/>
    </xf>
    <xf numFmtId="2" fontId="26" fillId="40" borderId="0" xfId="0" applyNumberFormat="1" applyFont="1" applyFill="1" applyAlignment="1">
      <alignment horizontal="center"/>
    </xf>
    <xf numFmtId="9" fontId="115" fillId="0" borderId="0" xfId="0" applyNumberFormat="1" applyFont="1" applyAlignment="1">
      <alignment horizontal="center"/>
    </xf>
    <xf numFmtId="0" fontId="0" fillId="40" borderId="0" xfId="0" applyFill="1" applyAlignment="1">
      <alignment horizontal="right"/>
    </xf>
    <xf numFmtId="0" fontId="0" fillId="32" borderId="0" xfId="0" applyFill="1" applyAlignment="1">
      <alignment horizontal="center" vertical="center"/>
    </xf>
    <xf numFmtId="0" fontId="3" fillId="0" borderId="2" xfId="0" applyFont="1" applyBorder="1" applyAlignment="1">
      <alignment horizontal="center" vertical="center"/>
    </xf>
    <xf numFmtId="0" fontId="13" fillId="0" borderId="0" xfId="0" applyFont="1"/>
    <xf numFmtId="0" fontId="125" fillId="0" borderId="0" xfId="0" applyFont="1"/>
    <xf numFmtId="0" fontId="126" fillId="0" borderId="0" xfId="0" applyFont="1"/>
    <xf numFmtId="0" fontId="126" fillId="28" borderId="0" xfId="0" applyFont="1" applyFill="1"/>
    <xf numFmtId="0" fontId="26" fillId="28" borderId="0" xfId="0" applyFont="1" applyFill="1" applyAlignment="1">
      <alignment horizontal="center"/>
    </xf>
    <xf numFmtId="174" fontId="26" fillId="28" borderId="0" xfId="0" applyNumberFormat="1" applyFont="1" applyFill="1" applyAlignment="1">
      <alignment horizontal="center"/>
    </xf>
    <xf numFmtId="0" fontId="127" fillId="0" borderId="0" xfId="0" applyFont="1"/>
    <xf numFmtId="0" fontId="129" fillId="0" borderId="0" xfId="0" applyFont="1" applyAlignment="1">
      <alignment horizontal="center"/>
    </xf>
    <xf numFmtId="0" fontId="126" fillId="0" borderId="71" xfId="0" applyFont="1" applyBorder="1"/>
    <xf numFmtId="200" fontId="126" fillId="0" borderId="0" xfId="0" applyNumberFormat="1" applyFont="1" applyAlignment="1">
      <alignment horizontal="center"/>
    </xf>
    <xf numFmtId="0" fontId="126" fillId="0" borderId="0" xfId="0" applyFont="1" applyAlignment="1">
      <alignment horizontal="center"/>
    </xf>
    <xf numFmtId="1" fontId="126" fillId="0" borderId="0" xfId="0" applyNumberFormat="1" applyFont="1" applyAlignment="1">
      <alignment horizontal="center"/>
    </xf>
    <xf numFmtId="1" fontId="126" fillId="0" borderId="36" xfId="0" applyNumberFormat="1" applyFont="1" applyBorder="1" applyAlignment="1">
      <alignment horizontal="center"/>
    </xf>
    <xf numFmtId="0" fontId="26" fillId="0" borderId="71" xfId="0" applyFont="1" applyBorder="1" applyAlignment="1">
      <alignment horizontal="right"/>
    </xf>
    <xf numFmtId="2" fontId="26" fillId="0" borderId="0" xfId="0" applyNumberFormat="1" applyFont="1" applyAlignment="1">
      <alignment horizontal="center"/>
    </xf>
    <xf numFmtId="2" fontId="26" fillId="0" borderId="36" xfId="0" applyNumberFormat="1" applyFont="1" applyBorder="1" applyAlignment="1">
      <alignment horizontal="center"/>
    </xf>
    <xf numFmtId="0" fontId="121" fillId="0" borderId="71" xfId="0" applyFont="1" applyBorder="1" applyAlignment="1">
      <alignment horizontal="right"/>
    </xf>
    <xf numFmtId="200" fontId="121" fillId="0" borderId="0" xfId="0" applyNumberFormat="1" applyFont="1" applyAlignment="1">
      <alignment horizontal="center"/>
    </xf>
    <xf numFmtId="0" fontId="121" fillId="0" borderId="0" xfId="0" applyFont="1" applyAlignment="1">
      <alignment horizontal="center"/>
    </xf>
    <xf numFmtId="0" fontId="121" fillId="0" borderId="0" xfId="0" applyFont="1"/>
    <xf numFmtId="172" fontId="121" fillId="0" borderId="0" xfId="0" applyNumberFormat="1" applyFont="1" applyAlignment="1">
      <alignment horizontal="center"/>
    </xf>
    <xf numFmtId="172" fontId="121" fillId="0" borderId="36" xfId="0" applyNumberFormat="1" applyFont="1" applyBorder="1" applyAlignment="1">
      <alignment horizontal="center"/>
    </xf>
    <xf numFmtId="0" fontId="0" fillId="0" borderId="71" xfId="0" applyBorder="1"/>
    <xf numFmtId="0" fontId="124" fillId="0" borderId="0" xfId="0" applyFont="1" applyAlignment="1">
      <alignment horizontal="center"/>
    </xf>
    <xf numFmtId="172" fontId="0" fillId="0" borderId="0" xfId="0" applyNumberFormat="1" applyAlignment="1">
      <alignment horizontal="center"/>
    </xf>
    <xf numFmtId="172" fontId="0" fillId="0" borderId="36" xfId="0" applyNumberFormat="1" applyBorder="1" applyAlignment="1">
      <alignment horizontal="center"/>
    </xf>
    <xf numFmtId="0" fontId="0" fillId="0" borderId="36" xfId="0" applyBorder="1" applyAlignment="1">
      <alignment horizontal="center"/>
    </xf>
    <xf numFmtId="172" fontId="126" fillId="0" borderId="0" xfId="0" applyNumberFormat="1" applyFont="1" applyAlignment="1">
      <alignment horizontal="center"/>
    </xf>
    <xf numFmtId="172" fontId="126" fillId="0" borderId="36" xfId="0" applyNumberFormat="1" applyFont="1" applyBorder="1" applyAlignment="1">
      <alignment horizontal="center"/>
    </xf>
    <xf numFmtId="0" fontId="126" fillId="36" borderId="92" xfId="0" applyFont="1" applyFill="1" applyBorder="1"/>
    <xf numFmtId="0" fontId="0" fillId="36" borderId="93" xfId="0" applyFill="1" applyBorder="1"/>
    <xf numFmtId="0" fontId="26" fillId="36" borderId="93" xfId="0" applyFont="1" applyFill="1" applyBorder="1" applyAlignment="1">
      <alignment horizontal="center"/>
    </xf>
    <xf numFmtId="0" fontId="26" fillId="36" borderId="93" xfId="0" applyFont="1" applyFill="1" applyBorder="1"/>
    <xf numFmtId="0" fontId="0" fillId="36" borderId="93" xfId="0" applyFill="1" applyBorder="1" applyAlignment="1">
      <alignment horizontal="center"/>
    </xf>
    <xf numFmtId="0" fontId="0" fillId="36" borderId="94" xfId="0" applyFill="1" applyBorder="1" applyAlignment="1">
      <alignment horizontal="center"/>
    </xf>
    <xf numFmtId="0" fontId="127" fillId="0" borderId="71" xfId="0" applyFont="1" applyBorder="1"/>
    <xf numFmtId="0" fontId="128" fillId="0" borderId="0" xfId="0" applyFont="1" applyAlignment="1">
      <alignment horizontal="center"/>
    </xf>
    <xf numFmtId="172" fontId="127" fillId="0" borderId="0" xfId="0" applyNumberFormat="1" applyFont="1" applyAlignment="1">
      <alignment horizontal="center"/>
    </xf>
    <xf numFmtId="0" fontId="0" fillId="0" borderId="72" xfId="0" applyBorder="1"/>
    <xf numFmtId="0" fontId="0" fillId="0" borderId="44" xfId="0" applyBorder="1"/>
    <xf numFmtId="0" fontId="0" fillId="0" borderId="44" xfId="0" applyBorder="1" applyAlignment="1">
      <alignment horizontal="center"/>
    </xf>
    <xf numFmtId="0" fontId="0" fillId="0" borderId="37" xfId="0" applyBorder="1" applyAlignment="1">
      <alignment horizontal="center"/>
    </xf>
    <xf numFmtId="0" fontId="58" fillId="0" borderId="0" xfId="0" applyFont="1"/>
    <xf numFmtId="172" fontId="26" fillId="40" borderId="0" xfId="0" applyNumberFormat="1" applyFont="1" applyFill="1" applyAlignment="1">
      <alignment horizontal="center"/>
    </xf>
    <xf numFmtId="2" fontId="85" fillId="0" borderId="0" xfId="32" applyNumberFormat="1" applyFont="1" applyAlignment="1">
      <alignment horizontal="center"/>
    </xf>
    <xf numFmtId="2" fontId="85" fillId="0" borderId="72" xfId="32" applyNumberFormat="1" applyFont="1" applyBorder="1" applyAlignment="1">
      <alignment horizontal="center"/>
    </xf>
    <xf numFmtId="2" fontId="85" fillId="0" borderId="44" xfId="32" applyNumberFormat="1" applyFont="1" applyBorder="1" applyAlignment="1">
      <alignment horizontal="center"/>
    </xf>
    <xf numFmtId="168" fontId="116" fillId="0" borderId="0" xfId="0" applyNumberFormat="1" applyFont="1" applyAlignment="1">
      <alignment horizontal="center"/>
    </xf>
    <xf numFmtId="0" fontId="61" fillId="0" borderId="71" xfId="32" applyFont="1" applyBorder="1"/>
    <xf numFmtId="0" fontId="88" fillId="0" borderId="0" xfId="32" applyFont="1" applyAlignment="1">
      <alignment horizontal="center"/>
    </xf>
    <xf numFmtId="0" fontId="131" fillId="0" borderId="71" xfId="32" applyFont="1" applyBorder="1"/>
    <xf numFmtId="0" fontId="134" fillId="0" borderId="0" xfId="32" applyFont="1" applyAlignment="1">
      <alignment horizontal="center" vertical="center"/>
    </xf>
    <xf numFmtId="0" fontId="133" fillId="0" borderId="0" xfId="32" applyFont="1"/>
    <xf numFmtId="9" fontId="115" fillId="0" borderId="0" xfId="0" applyNumberFormat="1" applyFont="1" applyAlignment="1">
      <alignment horizontal="right"/>
    </xf>
    <xf numFmtId="0" fontId="139" fillId="0" borderId="0" xfId="0" applyFont="1"/>
    <xf numFmtId="9" fontId="140" fillId="0" borderId="0" xfId="0" applyNumberFormat="1" applyFont="1" applyAlignment="1">
      <alignment horizontal="center"/>
    </xf>
    <xf numFmtId="9" fontId="140" fillId="0" borderId="0" xfId="0" applyNumberFormat="1" applyFont="1" applyAlignment="1">
      <alignment horizontal="right"/>
    </xf>
    <xf numFmtId="0" fontId="16" fillId="15" borderId="92" xfId="32" applyFont="1" applyFill="1" applyBorder="1" applyAlignment="1">
      <alignment horizontal="center" vertical="center"/>
    </xf>
    <xf numFmtId="0" fontId="16" fillId="29" borderId="56" xfId="32" applyFont="1" applyFill="1" applyBorder="1" applyAlignment="1">
      <alignment horizontal="center" vertical="center"/>
    </xf>
    <xf numFmtId="17" fontId="40" fillId="31" borderId="56" xfId="32" applyNumberFormat="1" applyFill="1" applyBorder="1" applyAlignment="1">
      <alignment horizontal="center" vertical="center"/>
    </xf>
    <xf numFmtId="0" fontId="40" fillId="15" borderId="72" xfId="32" applyFill="1" applyBorder="1" applyAlignment="1">
      <alignment horizontal="center" vertical="center"/>
    </xf>
    <xf numFmtId="0" fontId="40" fillId="50" borderId="0" xfId="32" applyFill="1"/>
    <xf numFmtId="0" fontId="40" fillId="0" borderId="92" xfId="32" applyBorder="1"/>
    <xf numFmtId="0" fontId="16" fillId="0" borderId="94" xfId="32" applyFont="1" applyBorder="1"/>
    <xf numFmtId="0" fontId="136" fillId="0" borderId="0" xfId="32" applyFont="1" applyAlignment="1">
      <alignment horizontal="right"/>
    </xf>
    <xf numFmtId="168" fontId="137" fillId="0" borderId="0" xfId="33" applyNumberFormat="1" applyFont="1" applyBorder="1" applyAlignment="1">
      <alignment horizontal="center"/>
    </xf>
    <xf numFmtId="0" fontId="136" fillId="0" borderId="44" xfId="32" applyFont="1" applyBorder="1" applyAlignment="1">
      <alignment horizontal="right"/>
    </xf>
    <xf numFmtId="9" fontId="137" fillId="0" borderId="44" xfId="32" applyNumberFormat="1" applyFont="1" applyBorder="1" applyAlignment="1">
      <alignment horizontal="center"/>
    </xf>
    <xf numFmtId="0" fontId="75" fillId="15" borderId="87" xfId="32" applyFont="1" applyFill="1" applyBorder="1" applyAlignment="1">
      <alignment horizontal="right" vertical="center" indent="1"/>
    </xf>
    <xf numFmtId="3" fontId="85" fillId="28" borderId="74" xfId="32" applyNumberFormat="1" applyFont="1" applyFill="1" applyBorder="1" applyAlignment="1">
      <alignment horizontal="center" vertical="center"/>
    </xf>
    <xf numFmtId="3" fontId="78" fillId="28" borderId="64" xfId="32" applyNumberFormat="1" applyFont="1" applyFill="1" applyBorder="1" applyAlignment="1">
      <alignment horizontal="center" vertical="center"/>
    </xf>
    <xf numFmtId="3" fontId="78" fillId="28" borderId="65" xfId="32" applyNumberFormat="1" applyFont="1" applyFill="1" applyBorder="1" applyAlignment="1">
      <alignment horizontal="center" vertical="center"/>
    </xf>
    <xf numFmtId="3" fontId="78" fillId="28" borderId="2" xfId="32" applyNumberFormat="1" applyFont="1" applyFill="1" applyBorder="1" applyAlignment="1">
      <alignment horizontal="center" vertical="center"/>
    </xf>
    <xf numFmtId="0" fontId="45" fillId="28" borderId="71" xfId="32" applyFont="1" applyFill="1" applyBorder="1" applyAlignment="1">
      <alignment horizontal="center" vertical="center"/>
    </xf>
    <xf numFmtId="0" fontId="45" fillId="28" borderId="58" xfId="32" applyFont="1" applyFill="1" applyBorder="1" applyAlignment="1">
      <alignment horizontal="center" vertical="center"/>
    </xf>
    <xf numFmtId="0" fontId="45" fillId="28" borderId="59" xfId="32" applyFont="1" applyFill="1" applyBorder="1" applyAlignment="1">
      <alignment horizontal="center" vertical="center"/>
    </xf>
    <xf numFmtId="3" fontId="71" fillId="28" borderId="74" xfId="32" applyNumberFormat="1" applyFont="1" applyFill="1" applyBorder="1" applyAlignment="1">
      <alignment horizontal="center" vertical="center"/>
    </xf>
    <xf numFmtId="3" fontId="78" fillId="51" borderId="64" xfId="32" applyNumberFormat="1" applyFont="1" applyFill="1" applyBorder="1" applyAlignment="1">
      <alignment horizontal="center" vertical="center"/>
    </xf>
    <xf numFmtId="3" fontId="78" fillId="51" borderId="2" xfId="32" applyNumberFormat="1" applyFont="1" applyFill="1" applyBorder="1" applyAlignment="1">
      <alignment horizontal="center" vertical="center"/>
    </xf>
    <xf numFmtId="3" fontId="78" fillId="51" borderId="65" xfId="32" applyNumberFormat="1" applyFont="1" applyFill="1" applyBorder="1" applyAlignment="1">
      <alignment horizontal="center" vertical="center"/>
    </xf>
    <xf numFmtId="175" fontId="49" fillId="30" borderId="71" xfId="32" applyNumberFormat="1" applyFont="1" applyFill="1" applyBorder="1" applyAlignment="1">
      <alignment horizontal="center" vertical="center"/>
    </xf>
    <xf numFmtId="175" fontId="44" fillId="30" borderId="58" xfId="32" applyNumberFormat="1" applyFont="1" applyFill="1" applyBorder="1" applyAlignment="1">
      <alignment horizontal="center" vertical="center"/>
    </xf>
    <xf numFmtId="175" fontId="44" fillId="30" borderId="59" xfId="32" applyNumberFormat="1" applyFont="1" applyFill="1" applyBorder="1" applyAlignment="1">
      <alignment horizontal="center" vertical="center"/>
    </xf>
    <xf numFmtId="175" fontId="44" fillId="30" borderId="3" xfId="32" applyNumberFormat="1" applyFont="1" applyFill="1" applyBorder="1" applyAlignment="1">
      <alignment horizontal="center" vertical="center"/>
    </xf>
    <xf numFmtId="175" fontId="44" fillId="30" borderId="0" xfId="32" applyNumberFormat="1" applyFont="1" applyFill="1" applyAlignment="1">
      <alignment horizontal="center" vertical="center"/>
    </xf>
    <xf numFmtId="175" fontId="44" fillId="30" borderId="52" xfId="32" applyNumberFormat="1" applyFont="1" applyFill="1" applyBorder="1" applyAlignment="1">
      <alignment horizontal="center" vertical="center"/>
    </xf>
    <xf numFmtId="9" fontId="77" fillId="34" borderId="62" xfId="32" applyNumberFormat="1" applyFont="1" applyFill="1" applyBorder="1" applyAlignment="1">
      <alignment horizontal="center" vertical="center"/>
    </xf>
    <xf numFmtId="0" fontId="40" fillId="15" borderId="95" xfId="32" applyFill="1" applyBorder="1" applyAlignment="1">
      <alignment horizontal="center" vertical="center"/>
    </xf>
    <xf numFmtId="0" fontId="72" fillId="15" borderId="96" xfId="32" applyFont="1" applyFill="1" applyBorder="1" applyAlignment="1">
      <alignment horizontal="center" vertical="center"/>
    </xf>
    <xf numFmtId="3" fontId="16" fillId="17" borderId="96" xfId="32" applyNumberFormat="1" applyFont="1" applyFill="1" applyBorder="1" applyAlignment="1">
      <alignment horizontal="center" vertical="center"/>
    </xf>
    <xf numFmtId="3" fontId="16" fillId="17" borderId="97" xfId="32" applyNumberFormat="1" applyFont="1" applyFill="1" applyBorder="1" applyAlignment="1">
      <alignment horizontal="center" vertical="center"/>
    </xf>
    <xf numFmtId="3" fontId="16" fillId="17" borderId="98" xfId="32" applyNumberFormat="1" applyFont="1" applyFill="1" applyBorder="1" applyAlignment="1">
      <alignment horizontal="center" vertical="center"/>
    </xf>
    <xf numFmtId="3" fontId="16" fillId="17" borderId="99" xfId="32" applyNumberFormat="1" applyFont="1" applyFill="1" applyBorder="1" applyAlignment="1">
      <alignment horizontal="center" vertical="center"/>
    </xf>
    <xf numFmtId="0" fontId="40" fillId="15" borderId="76" xfId="32" applyFill="1" applyBorder="1" applyAlignment="1">
      <alignment horizontal="center" vertical="center"/>
    </xf>
    <xf numFmtId="3" fontId="40" fillId="0" borderId="88" xfId="32" applyNumberFormat="1" applyBorder="1" applyAlignment="1">
      <alignment horizontal="center" vertical="center"/>
    </xf>
    <xf numFmtId="3" fontId="40" fillId="0" borderId="100" xfId="32" applyNumberFormat="1" applyBorder="1" applyAlignment="1">
      <alignment horizontal="center" vertical="center"/>
    </xf>
    <xf numFmtId="3" fontId="40" fillId="0" borderId="101" xfId="32" applyNumberFormat="1" applyBorder="1" applyAlignment="1">
      <alignment horizontal="center" vertical="center"/>
    </xf>
    <xf numFmtId="0" fontId="16" fillId="15" borderId="48" xfId="32" applyFont="1" applyFill="1" applyBorder="1" applyAlignment="1">
      <alignment horizontal="center" vertical="center" wrapText="1"/>
    </xf>
    <xf numFmtId="176" fontId="51" fillId="15" borderId="48" xfId="32" applyNumberFormat="1" applyFont="1" applyFill="1" applyBorder="1" applyAlignment="1">
      <alignment horizontal="center" vertical="center" wrapText="1"/>
    </xf>
    <xf numFmtId="0" fontId="49" fillId="35" borderId="102" xfId="32" applyFont="1" applyFill="1" applyBorder="1" applyAlignment="1">
      <alignment horizontal="center" vertical="center"/>
    </xf>
    <xf numFmtId="0" fontId="49" fillId="35" borderId="103" xfId="32" applyFont="1" applyFill="1" applyBorder="1" applyAlignment="1">
      <alignment horizontal="center" vertical="center"/>
    </xf>
    <xf numFmtId="3" fontId="49" fillId="28" borderId="103" xfId="32" applyNumberFormat="1" applyFont="1" applyFill="1" applyBorder="1" applyAlignment="1">
      <alignment horizontal="center" vertical="center"/>
    </xf>
    <xf numFmtId="3" fontId="49" fillId="28" borderId="104" xfId="32" applyNumberFormat="1" applyFont="1" applyFill="1" applyBorder="1" applyAlignment="1">
      <alignment horizontal="center" vertical="center"/>
    </xf>
    <xf numFmtId="3" fontId="49" fillId="28" borderId="54" xfId="32" applyNumberFormat="1" applyFont="1" applyFill="1" applyBorder="1" applyAlignment="1">
      <alignment horizontal="center" vertical="center"/>
    </xf>
    <xf numFmtId="3" fontId="49" fillId="28" borderId="51" xfId="32" applyNumberFormat="1" applyFont="1" applyFill="1" applyBorder="1" applyAlignment="1">
      <alignment horizontal="center" vertical="center"/>
    </xf>
    <xf numFmtId="0" fontId="16" fillId="16" borderId="104" xfId="32" applyFont="1" applyFill="1" applyBorder="1" applyAlignment="1">
      <alignment horizontal="center"/>
    </xf>
    <xf numFmtId="175" fontId="16" fillId="16" borderId="103" xfId="32" applyNumberFormat="1" applyFont="1" applyFill="1" applyBorder="1" applyAlignment="1">
      <alignment horizontal="center" vertical="center"/>
    </xf>
    <xf numFmtId="175" fontId="16" fillId="16" borderId="105" xfId="32" applyNumberFormat="1" applyFont="1" applyFill="1" applyBorder="1" applyAlignment="1">
      <alignment horizontal="center" vertical="center"/>
    </xf>
    <xf numFmtId="175" fontId="16" fillId="16" borderId="106" xfId="32" applyNumberFormat="1" applyFont="1" applyFill="1" applyBorder="1" applyAlignment="1">
      <alignment horizontal="center" vertical="center"/>
    </xf>
    <xf numFmtId="175" fontId="16" fillId="16" borderId="107" xfId="32" applyNumberFormat="1" applyFont="1" applyFill="1" applyBorder="1" applyAlignment="1">
      <alignment horizontal="center" vertical="center"/>
    </xf>
    <xf numFmtId="175" fontId="16" fillId="16" borderId="54" xfId="32" applyNumberFormat="1" applyFont="1" applyFill="1" applyBorder="1" applyAlignment="1">
      <alignment horizontal="center" vertical="center"/>
    </xf>
    <xf numFmtId="175" fontId="16" fillId="16" borderId="108" xfId="32" applyNumberFormat="1" applyFont="1" applyFill="1" applyBorder="1" applyAlignment="1">
      <alignment horizontal="center" vertical="center"/>
    </xf>
    <xf numFmtId="0" fontId="40" fillId="0" borderId="109" xfId="32" applyBorder="1"/>
    <xf numFmtId="0" fontId="40" fillId="0" borderId="40" xfId="32" applyBorder="1"/>
    <xf numFmtId="0" fontId="40" fillId="0" borderId="111" xfId="32" applyBorder="1"/>
    <xf numFmtId="0" fontId="54" fillId="0" borderId="111" xfId="32" applyFont="1" applyBorder="1"/>
    <xf numFmtId="0" fontId="40" fillId="0" borderId="113" xfId="32" applyBorder="1"/>
    <xf numFmtId="0" fontId="54" fillId="0" borderId="113" xfId="32" applyFont="1" applyBorder="1"/>
    <xf numFmtId="0" fontId="54" fillId="0" borderId="114" xfId="32" applyFont="1" applyBorder="1"/>
    <xf numFmtId="0" fontId="16" fillId="28" borderId="50" xfId="32" applyFont="1" applyFill="1" applyBorder="1"/>
    <xf numFmtId="0" fontId="16" fillId="28" borderId="54" xfId="32" applyFont="1" applyFill="1" applyBorder="1" applyAlignment="1">
      <alignment horizontal="center"/>
    </xf>
    <xf numFmtId="3" fontId="16" fillId="28" borderId="51" xfId="32" applyNumberFormat="1" applyFont="1" applyFill="1" applyBorder="1" applyAlignment="1">
      <alignment horizontal="center"/>
    </xf>
    <xf numFmtId="0" fontId="62" fillId="0" borderId="0" xfId="0" applyFont="1" applyAlignment="1">
      <alignment horizontal="center"/>
    </xf>
    <xf numFmtId="0" fontId="142" fillId="0" borderId="0" xfId="0" applyFont="1"/>
    <xf numFmtId="2" fontId="143" fillId="0" borderId="0" xfId="0" applyNumberFormat="1" applyFont="1" applyAlignment="1">
      <alignment horizontal="center"/>
    </xf>
    <xf numFmtId="174" fontId="62" fillId="0" borderId="0" xfId="0" applyNumberFormat="1" applyFont="1" applyAlignment="1">
      <alignment horizontal="center"/>
    </xf>
    <xf numFmtId="0" fontId="62" fillId="28" borderId="0" xfId="0" applyFont="1" applyFill="1"/>
    <xf numFmtId="202" fontId="88" fillId="0" borderId="0" xfId="35" applyNumberFormat="1" applyFont="1" applyFill="1" applyAlignment="1">
      <alignment horizontal="center"/>
    </xf>
    <xf numFmtId="168" fontId="135" fillId="0" borderId="9" xfId="32" applyNumberFormat="1" applyFont="1" applyBorder="1" applyAlignment="1">
      <alignment horizontal="center"/>
    </xf>
    <xf numFmtId="168" fontId="135" fillId="0" borderId="7" xfId="32" applyNumberFormat="1" applyFont="1" applyBorder="1" applyAlignment="1">
      <alignment horizontal="center"/>
    </xf>
    <xf numFmtId="168" fontId="135" fillId="0" borderId="8" xfId="32" applyNumberFormat="1" applyFont="1" applyBorder="1" applyAlignment="1">
      <alignment horizontal="center"/>
    </xf>
    <xf numFmtId="9" fontId="77" fillId="15" borderId="88" xfId="32" applyNumberFormat="1" applyFont="1" applyFill="1" applyBorder="1" applyAlignment="1">
      <alignment horizontal="center" vertical="center"/>
    </xf>
    <xf numFmtId="2" fontId="62" fillId="0" borderId="0" xfId="0" applyNumberFormat="1" applyFont="1" applyAlignment="1">
      <alignment horizontal="center"/>
    </xf>
    <xf numFmtId="2" fontId="62" fillId="0" borderId="0" xfId="0" applyNumberFormat="1" applyFont="1"/>
    <xf numFmtId="2" fontId="0" fillId="0" borderId="0" xfId="0" applyNumberFormat="1" applyAlignment="1">
      <alignment horizontal="center"/>
    </xf>
    <xf numFmtId="2" fontId="0" fillId="0" borderId="36" xfId="0" applyNumberFormat="1" applyBorder="1" applyAlignment="1">
      <alignment horizontal="center"/>
    </xf>
    <xf numFmtId="174" fontId="0" fillId="0" borderId="0" xfId="0" applyNumberFormat="1" applyAlignment="1">
      <alignment horizontal="center"/>
    </xf>
    <xf numFmtId="174" fontId="85" fillId="0" borderId="0" xfId="32" applyNumberFormat="1" applyFont="1"/>
    <xf numFmtId="203" fontId="61" fillId="15" borderId="49" xfId="32" applyNumberFormat="1" applyFont="1" applyFill="1" applyBorder="1" applyAlignment="1">
      <alignment horizontal="center" vertical="center" wrapText="1"/>
    </xf>
    <xf numFmtId="0" fontId="40" fillId="0" borderId="114" xfId="32" applyBorder="1"/>
    <xf numFmtId="9" fontId="77" fillId="28" borderId="112" xfId="33" applyFont="1" applyFill="1" applyBorder="1" applyAlignment="1">
      <alignment horizontal="center"/>
    </xf>
    <xf numFmtId="9" fontId="77" fillId="28" borderId="110" xfId="32" applyNumberFormat="1" applyFont="1" applyFill="1" applyBorder="1" applyAlignment="1">
      <alignment horizontal="center"/>
    </xf>
    <xf numFmtId="9" fontId="77" fillId="28" borderId="112" xfId="32" applyNumberFormat="1" applyFont="1" applyFill="1" applyBorder="1" applyAlignment="1">
      <alignment horizontal="center"/>
    </xf>
    <xf numFmtId="168" fontId="77" fillId="28" borderId="110" xfId="32" applyNumberFormat="1" applyFont="1" applyFill="1" applyBorder="1" applyAlignment="1">
      <alignment horizontal="center"/>
    </xf>
    <xf numFmtId="0" fontId="75" fillId="0" borderId="39" xfId="32" applyFont="1" applyBorder="1" applyAlignment="1">
      <alignment horizontal="left" indent="1"/>
    </xf>
    <xf numFmtId="0" fontId="75" fillId="0" borderId="110" xfId="32" applyFont="1" applyBorder="1" applyAlignment="1">
      <alignment horizontal="left" indent="1"/>
    </xf>
    <xf numFmtId="0" fontId="40" fillId="0" borderId="0" xfId="32" applyAlignment="1">
      <alignment horizontal="left" indent="1"/>
    </xf>
    <xf numFmtId="3" fontId="133" fillId="0" borderId="1" xfId="32" applyNumberFormat="1" applyFont="1" applyBorder="1" applyAlignment="1">
      <alignment horizontal="center" vertical="center"/>
    </xf>
    <xf numFmtId="174" fontId="146" fillId="39" borderId="0" xfId="32" applyNumberFormat="1" applyFont="1" applyFill="1"/>
    <xf numFmtId="0" fontId="0" fillId="0" borderId="71" xfId="0" quotePrefix="1" applyBorder="1"/>
    <xf numFmtId="0" fontId="40" fillId="48" borderId="56" xfId="32" applyFill="1" applyBorder="1" applyAlignment="1">
      <alignment horizontal="center"/>
    </xf>
    <xf numFmtId="9" fontId="87" fillId="0" borderId="0" xfId="33" applyFont="1" applyBorder="1" applyAlignment="1">
      <alignment horizontal="center" vertical="center"/>
    </xf>
    <xf numFmtId="0" fontId="0" fillId="0" borderId="0" xfId="0" applyAlignment="1">
      <alignment wrapText="1"/>
    </xf>
    <xf numFmtId="17" fontId="0" fillId="0" borderId="0" xfId="0" applyNumberFormat="1" applyAlignment="1">
      <alignment wrapText="1"/>
    </xf>
    <xf numFmtId="0" fontId="0" fillId="49" borderId="0" xfId="0" applyFill="1" applyAlignment="1">
      <alignment wrapText="1"/>
    </xf>
    <xf numFmtId="0" fontId="0" fillId="32" borderId="0" xfId="0" applyFill="1" applyAlignment="1">
      <alignment wrapText="1"/>
    </xf>
    <xf numFmtId="0" fontId="124" fillId="32" borderId="0" xfId="0" applyFont="1" applyFill="1"/>
    <xf numFmtId="0" fontId="82" fillId="32" borderId="0" xfId="32" applyFont="1" applyFill="1"/>
    <xf numFmtId="0" fontId="124" fillId="0" borderId="0" xfId="0" applyFont="1"/>
    <xf numFmtId="0" fontId="148" fillId="0" borderId="0" xfId="0" applyFont="1" applyAlignment="1">
      <alignment horizontal="center"/>
    </xf>
    <xf numFmtId="0" fontId="136" fillId="0" borderId="0" xfId="32" applyFont="1"/>
    <xf numFmtId="0" fontId="150" fillId="0" borderId="0" xfId="32" applyFont="1"/>
    <xf numFmtId="0" fontId="150" fillId="0" borderId="0" xfId="32" applyFont="1" applyAlignment="1">
      <alignment horizontal="center" vertical="center"/>
    </xf>
    <xf numFmtId="0" fontId="151" fillId="0" borderId="0" xfId="32" applyFont="1" applyAlignment="1">
      <alignment horizontal="right" vertical="center"/>
    </xf>
    <xf numFmtId="0" fontId="150" fillId="0" borderId="71" xfId="32" applyFont="1" applyBorder="1"/>
    <xf numFmtId="0" fontId="152" fillId="27" borderId="0" xfId="32" applyFont="1" applyFill="1" applyAlignment="1">
      <alignment horizontal="center"/>
    </xf>
    <xf numFmtId="201" fontId="152" fillId="27" borderId="0" xfId="32" applyNumberFormat="1" applyFont="1" applyFill="1" applyAlignment="1">
      <alignment horizontal="center"/>
    </xf>
    <xf numFmtId="0" fontId="153" fillId="39" borderId="0" xfId="32" applyFont="1" applyFill="1" applyAlignment="1">
      <alignment horizontal="center" vertical="center"/>
    </xf>
    <xf numFmtId="0" fontId="150" fillId="0" borderId="36" xfId="32" applyFont="1" applyBorder="1"/>
    <xf numFmtId="3" fontId="41" fillId="0" borderId="52" xfId="32" applyNumberFormat="1" applyFont="1" applyBorder="1" applyAlignment="1">
      <alignment horizontal="center" vertical="center"/>
    </xf>
    <xf numFmtId="3" fontId="41" fillId="0" borderId="34" xfId="32" applyNumberFormat="1" applyFont="1" applyBorder="1" applyAlignment="1">
      <alignment horizontal="center" vertical="center"/>
    </xf>
    <xf numFmtId="17" fontId="40" fillId="29" borderId="69" xfId="32" applyNumberFormat="1" applyFill="1" applyBorder="1" applyAlignment="1">
      <alignment horizontal="center" vertical="center"/>
    </xf>
    <xf numFmtId="0" fontId="40" fillId="0" borderId="52" xfId="32" applyBorder="1"/>
    <xf numFmtId="0" fontId="40" fillId="0" borderId="34" xfId="32" applyBorder="1"/>
    <xf numFmtId="9" fontId="124" fillId="32" borderId="0" xfId="0" applyNumberFormat="1" applyFont="1" applyFill="1"/>
    <xf numFmtId="0" fontId="40" fillId="0" borderId="0" xfId="32" applyAlignment="1">
      <alignment horizontal="left" wrapText="1"/>
    </xf>
    <xf numFmtId="0" fontId="154" fillId="0" borderId="0" xfId="32" applyFont="1"/>
    <xf numFmtId="0" fontId="155" fillId="0" borderId="0" xfId="32" applyFont="1"/>
    <xf numFmtId="0" fontId="95" fillId="0" borderId="0" xfId="32" applyFont="1"/>
    <xf numFmtId="204" fontId="149" fillId="0" borderId="0" xfId="32" applyNumberFormat="1" applyFont="1"/>
    <xf numFmtId="0" fontId="156" fillId="0" borderId="0" xfId="0" applyFont="1"/>
    <xf numFmtId="0" fontId="0" fillId="37" borderId="0" xfId="0" applyFill="1" applyAlignment="1">
      <alignment horizontal="center"/>
    </xf>
    <xf numFmtId="0" fontId="40" fillId="37" borderId="0" xfId="32" applyFill="1"/>
    <xf numFmtId="0" fontId="40" fillId="37" borderId="0" xfId="32" applyFill="1" applyAlignment="1">
      <alignment horizontal="center" vertical="center"/>
    </xf>
    <xf numFmtId="0" fontId="154" fillId="37" borderId="0" xfId="32" applyFont="1" applyFill="1" applyAlignment="1">
      <alignment horizontal="center" vertical="center"/>
    </xf>
    <xf numFmtId="0" fontId="131" fillId="37" borderId="0" xfId="32" applyFont="1" applyFill="1" applyAlignment="1">
      <alignment horizontal="center" vertical="center"/>
    </xf>
    <xf numFmtId="0" fontId="131" fillId="0" borderId="0" xfId="32" applyFont="1" applyAlignment="1">
      <alignment horizontal="center" vertical="center"/>
    </xf>
    <xf numFmtId="0" fontId="131" fillId="0" borderId="0" xfId="32" applyFont="1"/>
    <xf numFmtId="0" fontId="16" fillId="37" borderId="0" xfId="32" applyFont="1" applyFill="1"/>
    <xf numFmtId="0" fontId="157" fillId="0" borderId="0" xfId="0" applyFont="1" applyAlignment="1">
      <alignment horizontal="center"/>
    </xf>
    <xf numFmtId="0" fontId="157" fillId="0" borderId="0" xfId="0" applyFont="1"/>
    <xf numFmtId="0" fontId="13" fillId="0" borderId="0" xfId="0" applyFont="1" applyAlignment="1">
      <alignment horizontal="center"/>
    </xf>
    <xf numFmtId="0" fontId="13" fillId="0" borderId="0" xfId="0" applyFont="1" applyAlignment="1">
      <alignment horizontal="left"/>
    </xf>
    <xf numFmtId="0" fontId="0" fillId="0" borderId="110" xfId="0" applyBorder="1"/>
    <xf numFmtId="0" fontId="3" fillId="0" borderId="110" xfId="0" applyFont="1" applyBorder="1" applyAlignment="1">
      <alignment horizontal="center"/>
    </xf>
    <xf numFmtId="168" fontId="5" fillId="0" borderId="110" xfId="0" applyNumberFormat="1" applyFont="1" applyBorder="1" applyAlignment="1">
      <alignment horizontal="center"/>
    </xf>
    <xf numFmtId="168" fontId="159" fillId="0" borderId="110" xfId="0" applyNumberFormat="1" applyFont="1" applyBorder="1" applyAlignment="1">
      <alignment horizontal="center"/>
    </xf>
    <xf numFmtId="168" fontId="159" fillId="0" borderId="112" xfId="0" applyNumberFormat="1" applyFont="1" applyBorder="1" applyAlignment="1">
      <alignment horizontal="center"/>
    </xf>
    <xf numFmtId="0" fontId="3" fillId="0" borderId="112" xfId="0" applyFont="1" applyBorder="1" applyAlignment="1">
      <alignment vertical="center"/>
    </xf>
    <xf numFmtId="169" fontId="7" fillId="0" borderId="119" xfId="0" applyNumberFormat="1" applyFont="1" applyBorder="1" applyAlignment="1">
      <alignment horizontal="center"/>
    </xf>
    <xf numFmtId="169" fontId="7" fillId="0" borderId="120" xfId="0" applyNumberFormat="1" applyFont="1" applyBorder="1" applyAlignment="1">
      <alignment horizontal="center"/>
    </xf>
    <xf numFmtId="169" fontId="7" fillId="0" borderId="121" xfId="0" applyNumberFormat="1" applyFont="1" applyBorder="1" applyAlignment="1">
      <alignment horizontal="center"/>
    </xf>
    <xf numFmtId="169" fontId="7" fillId="0" borderId="118" xfId="0" applyNumberFormat="1" applyFont="1" applyBorder="1" applyAlignment="1">
      <alignment horizontal="center"/>
    </xf>
    <xf numFmtId="169" fontId="130" fillId="0" borderId="122" xfId="0" applyNumberFormat="1" applyFont="1" applyBorder="1" applyAlignment="1">
      <alignment horizontal="center"/>
    </xf>
    <xf numFmtId="169" fontId="130" fillId="0" borderId="123" xfId="0" applyNumberFormat="1" applyFont="1" applyBorder="1" applyAlignment="1">
      <alignment horizontal="center"/>
    </xf>
    <xf numFmtId="0" fontId="0" fillId="0" borderId="119" xfId="0" applyBorder="1" applyAlignment="1">
      <alignment horizontal="center"/>
    </xf>
    <xf numFmtId="0" fontId="0" fillId="0" borderId="120" xfId="0" applyBorder="1" applyAlignment="1">
      <alignment horizontal="center"/>
    </xf>
    <xf numFmtId="205" fontId="0" fillId="0" borderId="119" xfId="0" applyNumberFormat="1" applyBorder="1" applyAlignment="1">
      <alignment horizontal="center"/>
    </xf>
    <xf numFmtId="205" fontId="0" fillId="0" borderId="120" xfId="0" applyNumberFormat="1" applyBorder="1" applyAlignment="1">
      <alignment horizontal="center"/>
    </xf>
    <xf numFmtId="0" fontId="0" fillId="0" borderId="126" xfId="0" applyBorder="1" applyAlignment="1">
      <alignment horizontal="center"/>
    </xf>
    <xf numFmtId="0" fontId="0" fillId="0" borderId="127" xfId="0" applyBorder="1" applyAlignment="1">
      <alignment horizontal="center"/>
    </xf>
    <xf numFmtId="17" fontId="23" fillId="32" borderId="29" xfId="1" applyNumberFormat="1" applyFont="1" applyFill="1" applyBorder="1" applyAlignment="1">
      <alignment horizontal="center"/>
    </xf>
    <xf numFmtId="1" fontId="13" fillId="32" borderId="0" xfId="1" applyNumberFormat="1" applyFill="1" applyAlignment="1">
      <alignment horizontal="center"/>
    </xf>
    <xf numFmtId="1" fontId="58" fillId="32" borderId="0" xfId="1" applyNumberFormat="1" applyFont="1" applyFill="1" applyAlignment="1">
      <alignment horizontal="center"/>
    </xf>
    <xf numFmtId="0" fontId="25" fillId="32" borderId="0" xfId="1" applyFont="1" applyFill="1" applyAlignment="1">
      <alignment horizontal="center"/>
    </xf>
    <xf numFmtId="0" fontId="13" fillId="32" borderId="26" xfId="1" applyFill="1" applyBorder="1" applyAlignment="1">
      <alignment horizontal="center"/>
    </xf>
    <xf numFmtId="0" fontId="83" fillId="0" borderId="0" xfId="1" applyFont="1" applyAlignment="1">
      <alignment horizontal="center"/>
    </xf>
    <xf numFmtId="0" fontId="83" fillId="0" borderId="23" xfId="1" applyFont="1" applyBorder="1" applyAlignment="1">
      <alignment horizontal="center"/>
    </xf>
    <xf numFmtId="1" fontId="7" fillId="0" borderId="0" xfId="0" applyNumberFormat="1" applyFont="1" applyAlignment="1">
      <alignment horizontal="center"/>
    </xf>
    <xf numFmtId="0" fontId="97" fillId="0" borderId="0" xfId="0" applyFont="1" applyAlignment="1">
      <alignment vertical="center"/>
    </xf>
    <xf numFmtId="0" fontId="81" fillId="0" borderId="0" xfId="0" applyFont="1" applyAlignment="1">
      <alignment vertical="center"/>
    </xf>
    <xf numFmtId="0" fontId="12" fillId="0" borderId="11" xfId="0" applyFont="1" applyBorder="1" applyAlignment="1">
      <alignment horizontal="center"/>
    </xf>
    <xf numFmtId="0" fontId="12" fillId="0" borderId="12" xfId="0" applyFont="1" applyBorder="1" applyAlignment="1">
      <alignment horizontal="center"/>
    </xf>
    <xf numFmtId="0" fontId="0" fillId="0" borderId="5" xfId="0" applyBorder="1" applyAlignment="1">
      <alignment horizontal="center"/>
    </xf>
    <xf numFmtId="0" fontId="0" fillId="0" borderId="2" xfId="0" applyBorder="1" applyAlignment="1">
      <alignment horizontal="center"/>
    </xf>
    <xf numFmtId="0" fontId="158" fillId="0" borderId="0" xfId="0" applyFont="1" applyAlignment="1">
      <alignment horizontal="center"/>
    </xf>
    <xf numFmtId="2" fontId="160" fillId="0" borderId="0" xfId="0" applyNumberFormat="1" applyFont="1"/>
    <xf numFmtId="0" fontId="160" fillId="0" borderId="0" xfId="0" applyFont="1"/>
    <xf numFmtId="9" fontId="161" fillId="0" borderId="0" xfId="33" applyFont="1"/>
    <xf numFmtId="0" fontId="0" fillId="32" borderId="0" xfId="0" applyFill="1"/>
    <xf numFmtId="0" fontId="164" fillId="0" borderId="0" xfId="47" applyFont="1"/>
    <xf numFmtId="0" fontId="0" fillId="32" borderId="0" xfId="0" applyFill="1" applyAlignment="1">
      <alignment vertical="center"/>
    </xf>
    <xf numFmtId="0" fontId="16" fillId="15" borderId="71" xfId="32" applyFont="1" applyFill="1" applyBorder="1" applyAlignment="1">
      <alignment horizontal="right" vertical="center" indent="1"/>
    </xf>
    <xf numFmtId="0" fontId="16" fillId="15" borderId="72" xfId="32" applyFont="1" applyFill="1" applyBorder="1" applyAlignment="1">
      <alignment vertical="center"/>
    </xf>
    <xf numFmtId="0" fontId="16" fillId="15" borderId="36" xfId="32" applyFont="1" applyFill="1" applyBorder="1" applyAlignment="1">
      <alignment horizontal="right" vertical="center"/>
    </xf>
    <xf numFmtId="0" fontId="16" fillId="15" borderId="37" xfId="32" applyFont="1" applyFill="1" applyBorder="1" applyAlignment="1">
      <alignment horizontal="right" vertical="center"/>
    </xf>
    <xf numFmtId="4" fontId="165" fillId="17" borderId="58" xfId="32" applyNumberFormat="1" applyFont="1" applyFill="1" applyBorder="1" applyAlignment="1">
      <alignment horizontal="center" vertical="center"/>
    </xf>
    <xf numFmtId="4" fontId="165" fillId="17" borderId="3" xfId="32" applyNumberFormat="1" applyFont="1" applyFill="1" applyBorder="1" applyAlignment="1">
      <alignment horizontal="center" vertical="center"/>
    </xf>
    <xf numFmtId="4" fontId="165" fillId="17" borderId="59" xfId="32" applyNumberFormat="1" applyFont="1" applyFill="1" applyBorder="1" applyAlignment="1">
      <alignment horizontal="center" vertical="center"/>
    </xf>
    <xf numFmtId="4" fontId="71" fillId="0" borderId="71" xfId="32" applyNumberFormat="1" applyFont="1" applyBorder="1" applyAlignment="1">
      <alignment horizontal="center" vertical="center"/>
    </xf>
    <xf numFmtId="4" fontId="71" fillId="0" borderId="58" xfId="32" applyNumberFormat="1" applyFont="1" applyBorder="1" applyAlignment="1">
      <alignment horizontal="center" vertical="center"/>
    </xf>
    <xf numFmtId="4" fontId="71" fillId="0" borderId="59" xfId="32" applyNumberFormat="1" applyFont="1" applyBorder="1" applyAlignment="1">
      <alignment horizontal="center" vertical="center"/>
    </xf>
    <xf numFmtId="4" fontId="71" fillId="0" borderId="0" xfId="32" applyNumberFormat="1" applyFont="1" applyAlignment="1">
      <alignment horizontal="center" vertical="center"/>
    </xf>
    <xf numFmtId="4" fontId="71" fillId="0" borderId="52" xfId="32" applyNumberFormat="1" applyFont="1" applyBorder="1" applyAlignment="1">
      <alignment horizontal="center" vertical="center"/>
    </xf>
    <xf numFmtId="0" fontId="16" fillId="15" borderId="100" xfId="32" applyFont="1" applyFill="1" applyBorder="1" applyAlignment="1">
      <alignment horizontal="center" vertical="center"/>
    </xf>
    <xf numFmtId="0" fontId="16" fillId="15" borderId="89" xfId="32" applyFont="1" applyFill="1" applyBorder="1" applyAlignment="1">
      <alignment horizontal="left" vertical="center"/>
    </xf>
    <xf numFmtId="0" fontId="16" fillId="15" borderId="72" xfId="32" applyFont="1" applyFill="1" applyBorder="1" applyAlignment="1">
      <alignment horizontal="left" vertical="center"/>
    </xf>
    <xf numFmtId="0" fontId="16" fillId="15" borderId="94" xfId="32" applyFont="1" applyFill="1" applyBorder="1" applyAlignment="1">
      <alignment horizontal="right" vertical="center" indent="1"/>
    </xf>
    <xf numFmtId="0" fontId="16" fillId="15" borderId="37" xfId="32" applyFont="1" applyFill="1" applyBorder="1" applyAlignment="1">
      <alignment horizontal="right" vertical="center" indent="1"/>
    </xf>
    <xf numFmtId="0" fontId="16" fillId="15" borderId="92" xfId="32" applyFont="1" applyFill="1" applyBorder="1" applyAlignment="1">
      <alignment horizontal="left" vertical="center" indent="1"/>
    </xf>
    <xf numFmtId="206" fontId="0" fillId="26" borderId="3" xfId="0" applyNumberFormat="1" applyFill="1" applyBorder="1" applyAlignment="1">
      <alignment horizontal="center"/>
    </xf>
    <xf numFmtId="0" fontId="166" fillId="0" borderId="0" xfId="0" applyFont="1" applyAlignment="1">
      <alignment vertical="center"/>
    </xf>
    <xf numFmtId="0" fontId="166" fillId="0" borderId="0" xfId="0" applyFont="1" applyAlignment="1">
      <alignment horizontal="center" vertical="center"/>
    </xf>
    <xf numFmtId="0" fontId="167" fillId="5" borderId="0" xfId="0" applyFont="1" applyFill="1" applyAlignment="1">
      <alignment horizontal="center" vertical="center"/>
    </xf>
    <xf numFmtId="203" fontId="61" fillId="0" borderId="0" xfId="32" applyNumberFormat="1" applyFont="1" applyAlignment="1">
      <alignment horizontal="center" vertical="center" wrapText="1"/>
    </xf>
    <xf numFmtId="9" fontId="77" fillId="0" borderId="0" xfId="32" applyNumberFormat="1" applyFont="1" applyAlignment="1">
      <alignment horizontal="center" vertical="center"/>
    </xf>
    <xf numFmtId="0" fontId="40" fillId="40" borderId="128" xfId="32" applyFill="1" applyBorder="1" applyAlignment="1">
      <alignment horizontal="center" vertical="center"/>
    </xf>
    <xf numFmtId="0" fontId="72" fillId="40" borderId="71" xfId="32" applyFont="1" applyFill="1" applyBorder="1" applyAlignment="1">
      <alignment horizontal="center" vertical="center"/>
    </xf>
    <xf numFmtId="3" fontId="40" fillId="40" borderId="71" xfId="32" applyNumberFormat="1" applyFill="1" applyBorder="1" applyAlignment="1">
      <alignment horizontal="center" vertical="center"/>
    </xf>
    <xf numFmtId="0" fontId="16" fillId="53" borderId="87" xfId="32" applyFont="1" applyFill="1" applyBorder="1" applyAlignment="1">
      <alignment horizontal="center" vertical="center"/>
    </xf>
    <xf numFmtId="17" fontId="40" fillId="53" borderId="14" xfId="32" applyNumberFormat="1" applyFill="1" applyBorder="1" applyAlignment="1">
      <alignment horizontal="center" vertical="center"/>
    </xf>
    <xf numFmtId="17" fontId="40" fillId="52" borderId="14" xfId="32" applyNumberFormat="1" applyFill="1" applyBorder="1" applyAlignment="1">
      <alignment horizontal="center" vertical="center"/>
    </xf>
    <xf numFmtId="17" fontId="40" fillId="52" borderId="56" xfId="32" applyNumberFormat="1" applyFill="1" applyBorder="1" applyAlignment="1">
      <alignment horizontal="center" vertical="center"/>
    </xf>
    <xf numFmtId="0" fontId="75" fillId="52" borderId="87" xfId="32" applyFont="1" applyFill="1" applyBorder="1" applyAlignment="1">
      <alignment horizontal="center" vertical="center"/>
    </xf>
    <xf numFmtId="17" fontId="75" fillId="52" borderId="87" xfId="32" applyNumberFormat="1" applyFont="1" applyFill="1" applyBorder="1" applyAlignment="1">
      <alignment horizontal="center" vertical="center"/>
    </xf>
    <xf numFmtId="207" fontId="0" fillId="3" borderId="3" xfId="0" applyNumberFormat="1" applyFill="1" applyBorder="1" applyAlignment="1">
      <alignment horizontal="center"/>
    </xf>
    <xf numFmtId="0" fontId="26" fillId="28" borderId="0" xfId="0" applyFont="1" applyFill="1" applyAlignment="1">
      <alignment horizontal="center" vertical="center"/>
    </xf>
    <xf numFmtId="0" fontId="0" fillId="28" borderId="0" xfId="0" applyFill="1" applyAlignment="1">
      <alignment horizontal="center" vertical="center"/>
    </xf>
    <xf numFmtId="0" fontId="0" fillId="28" borderId="0" xfId="0" applyFill="1" applyAlignment="1">
      <alignment horizontal="center"/>
    </xf>
    <xf numFmtId="207" fontId="0" fillId="40" borderId="0" xfId="0" applyNumberFormat="1" applyFill="1" applyAlignment="1">
      <alignment horizontal="center"/>
    </xf>
    <xf numFmtId="207" fontId="26" fillId="40" borderId="0" xfId="0" applyNumberFormat="1" applyFont="1" applyFill="1" applyAlignment="1">
      <alignment horizontal="center"/>
    </xf>
    <xf numFmtId="0" fontId="0" fillId="46" borderId="0" xfId="0" applyFill="1"/>
    <xf numFmtId="0" fontId="26" fillId="0" borderId="0" xfId="0" applyFont="1" applyAlignment="1">
      <alignment horizontal="right"/>
    </xf>
    <xf numFmtId="0" fontId="0" fillId="32" borderId="0" xfId="0" applyFill="1" applyAlignment="1">
      <alignment horizontal="center" vertical="center" wrapText="1"/>
    </xf>
    <xf numFmtId="9" fontId="168" fillId="0" borderId="0" xfId="0" applyNumberFormat="1" applyFont="1" applyAlignment="1">
      <alignment horizontal="center"/>
    </xf>
    <xf numFmtId="2" fontId="127" fillId="0" borderId="0" xfId="0" applyNumberFormat="1" applyFont="1" applyAlignment="1">
      <alignment horizontal="center"/>
    </xf>
    <xf numFmtId="2" fontId="127" fillId="0" borderId="36" xfId="0" applyNumberFormat="1" applyFont="1" applyBorder="1" applyAlignment="1">
      <alignment horizontal="center"/>
    </xf>
    <xf numFmtId="2" fontId="85" fillId="0" borderId="130" xfId="32" applyNumberFormat="1" applyFont="1" applyBorder="1" applyAlignment="1">
      <alignment horizontal="center"/>
    </xf>
    <xf numFmtId="2" fontId="85" fillId="0" borderId="129" xfId="32" applyNumberFormat="1" applyFont="1" applyBorder="1" applyAlignment="1">
      <alignment horizontal="center"/>
    </xf>
    <xf numFmtId="0" fontId="40" fillId="0" borderId="129" xfId="32" applyBorder="1"/>
    <xf numFmtId="0" fontId="40" fillId="0" borderId="131" xfId="32" applyBorder="1"/>
    <xf numFmtId="174" fontId="169" fillId="39" borderId="0" xfId="32" applyNumberFormat="1" applyFont="1" applyFill="1"/>
    <xf numFmtId="0" fontId="169" fillId="0" borderId="0" xfId="32" applyFont="1"/>
    <xf numFmtId="208" fontId="3" fillId="32" borderId="0" xfId="0" quotePrefix="1" applyNumberFormat="1" applyFont="1" applyFill="1" applyAlignment="1">
      <alignment horizontal="center" vertical="center" wrapText="1"/>
    </xf>
    <xf numFmtId="209" fontId="3" fillId="32" borderId="0" xfId="0" applyNumberFormat="1" applyFont="1" applyFill="1" applyAlignment="1">
      <alignment horizontal="center" vertical="center" wrapText="1"/>
    </xf>
    <xf numFmtId="2" fontId="170" fillId="0" borderId="0" xfId="0" applyNumberFormat="1" applyFont="1" applyAlignment="1">
      <alignment horizontal="center"/>
    </xf>
    <xf numFmtId="9" fontId="62" fillId="0" borderId="0" xfId="0" applyNumberFormat="1" applyFont="1" applyAlignment="1">
      <alignment horizontal="center"/>
    </xf>
    <xf numFmtId="0" fontId="62" fillId="0" borderId="0" xfId="0" applyFont="1" applyAlignment="1">
      <alignment horizontal="center" vertical="center"/>
    </xf>
    <xf numFmtId="0" fontId="163" fillId="0" borderId="0" xfId="0" applyFont="1" applyAlignment="1">
      <alignment vertical="center"/>
    </xf>
    <xf numFmtId="0" fontId="163" fillId="0" borderId="0" xfId="0" applyFont="1" applyAlignment="1">
      <alignment horizontal="left" vertical="center"/>
    </xf>
    <xf numFmtId="0" fontId="0" fillId="54" borderId="0" xfId="0" applyFill="1"/>
    <xf numFmtId="0" fontId="0" fillId="54" borderId="0" xfId="0" applyFill="1" applyAlignment="1">
      <alignment vertical="center"/>
    </xf>
    <xf numFmtId="0" fontId="138" fillId="0" borderId="0" xfId="0" applyFont="1" applyAlignment="1">
      <alignment horizontal="center" vertical="center"/>
    </xf>
    <xf numFmtId="0" fontId="162" fillId="0" borderId="0" xfId="0" applyFont="1" applyAlignment="1">
      <alignment horizontal="center"/>
    </xf>
    <xf numFmtId="0" fontId="26" fillId="54" borderId="0" xfId="0" applyFont="1" applyFill="1"/>
    <xf numFmtId="9" fontId="26" fillId="0" borderId="0" xfId="0" applyNumberFormat="1" applyFont="1" applyAlignment="1">
      <alignment horizontal="center"/>
    </xf>
    <xf numFmtId="9" fontId="163" fillId="0" borderId="0" xfId="0" applyNumberFormat="1" applyFont="1" applyAlignment="1">
      <alignment horizontal="center"/>
    </xf>
    <xf numFmtId="0" fontId="163" fillId="0" borderId="0" xfId="35" applyNumberFormat="1" applyFont="1" applyFill="1" applyAlignment="1">
      <alignment horizontal="center"/>
    </xf>
    <xf numFmtId="0" fontId="163" fillId="0" borderId="0" xfId="35" applyNumberFormat="1" applyFont="1" applyFill="1" applyAlignment="1">
      <alignment horizontal="left"/>
    </xf>
    <xf numFmtId="0" fontId="171" fillId="0" borderId="0" xfId="0" applyFont="1"/>
    <xf numFmtId="0" fontId="171" fillId="0" borderId="0" xfId="0" applyFont="1" applyAlignment="1">
      <alignment horizontal="center"/>
    </xf>
    <xf numFmtId="0" fontId="172" fillId="54" borderId="0" xfId="0" applyFont="1" applyFill="1" applyAlignment="1">
      <alignment horizontal="center"/>
    </xf>
    <xf numFmtId="0" fontId="62" fillId="0" borderId="0" xfId="0" applyFont="1" applyAlignment="1">
      <alignment vertical="center"/>
    </xf>
    <xf numFmtId="168" fontId="145" fillId="40" borderId="0" xfId="0" applyNumberFormat="1" applyFont="1" applyFill="1" applyAlignment="1">
      <alignment horizontal="center" vertical="center"/>
    </xf>
    <xf numFmtId="0" fontId="127" fillId="0" borderId="0" xfId="0" applyFont="1" applyAlignment="1">
      <alignment vertical="center"/>
    </xf>
    <xf numFmtId="0" fontId="173" fillId="0" borderId="0" xfId="0" applyFont="1" applyAlignment="1">
      <alignment horizontal="right" vertical="center"/>
    </xf>
    <xf numFmtId="9" fontId="173" fillId="0" borderId="0" xfId="0" applyNumberFormat="1" applyFont="1" applyAlignment="1">
      <alignment horizontal="right" vertical="center"/>
    </xf>
    <xf numFmtId="0" fontId="163" fillId="28" borderId="0" xfId="0" applyFont="1" applyFill="1"/>
    <xf numFmtId="0" fontId="62" fillId="28" borderId="0" xfId="0" applyFont="1" applyFill="1" applyAlignment="1">
      <alignment horizontal="center"/>
    </xf>
    <xf numFmtId="2" fontId="103" fillId="0" borderId="0" xfId="35" applyNumberFormat="1" applyFont="1"/>
    <xf numFmtId="210" fontId="24" fillId="14" borderId="0" xfId="35" applyNumberFormat="1" applyFont="1" applyFill="1"/>
    <xf numFmtId="0" fontId="174" fillId="32" borderId="0" xfId="0" applyFont="1" applyFill="1" applyAlignment="1">
      <alignment horizontal="center"/>
    </xf>
    <xf numFmtId="0" fontId="176" fillId="0" borderId="119" xfId="0" applyFont="1" applyBorder="1" applyAlignment="1">
      <alignment horizontal="center" vertical="center" wrapText="1"/>
    </xf>
    <xf numFmtId="0" fontId="176" fillId="0" borderId="120" xfId="0" applyFont="1" applyBorder="1" applyAlignment="1">
      <alignment horizontal="center" vertical="center"/>
    </xf>
    <xf numFmtId="0" fontId="175" fillId="0" borderId="124" xfId="0" applyFont="1" applyBorder="1" applyAlignment="1">
      <alignment horizontal="center" vertical="center" wrapText="1"/>
    </xf>
    <xf numFmtId="0" fontId="175" fillId="0" borderId="125" xfId="0" applyFont="1" applyBorder="1" applyAlignment="1">
      <alignment horizontal="center" vertical="center"/>
    </xf>
    <xf numFmtId="0" fontId="175" fillId="0" borderId="0" xfId="0" applyFont="1" applyAlignment="1">
      <alignment vertical="center"/>
    </xf>
    <xf numFmtId="0" fontId="175" fillId="0" borderId="0" xfId="0" applyFont="1" applyAlignment="1">
      <alignment horizontal="center" vertical="center"/>
    </xf>
    <xf numFmtId="0" fontId="175" fillId="0" borderId="110" xfId="0" applyFont="1" applyBorder="1" applyAlignment="1">
      <alignment vertical="center"/>
    </xf>
    <xf numFmtId="168" fontId="80" fillId="0" borderId="4" xfId="0" applyNumberFormat="1" applyFont="1" applyBorder="1" applyAlignment="1">
      <alignment horizontal="center"/>
    </xf>
    <xf numFmtId="168" fontId="80" fillId="0" borderId="8" xfId="0" applyNumberFormat="1" applyFont="1" applyBorder="1" applyAlignment="1">
      <alignment horizontal="center"/>
    </xf>
    <xf numFmtId="168" fontId="177" fillId="0" borderId="4" xfId="0" applyNumberFormat="1" applyFont="1" applyBorder="1" applyAlignment="1">
      <alignment horizontal="center"/>
    </xf>
    <xf numFmtId="168" fontId="13" fillId="0" borderId="4" xfId="0" applyNumberFormat="1" applyFont="1" applyBorder="1" applyAlignment="1">
      <alignment horizontal="center"/>
    </xf>
    <xf numFmtId="174" fontId="60" fillId="0" borderId="10" xfId="0" applyNumberFormat="1" applyFont="1" applyBorder="1" applyAlignment="1">
      <alignment horizontal="center"/>
    </xf>
    <xf numFmtId="1" fontId="177" fillId="0" borderId="10" xfId="0" applyNumberFormat="1" applyFont="1" applyBorder="1" applyAlignment="1">
      <alignment horizontal="center"/>
    </xf>
    <xf numFmtId="1" fontId="177" fillId="0" borderId="9" xfId="0" applyNumberFormat="1" applyFont="1" applyBorder="1" applyAlignment="1">
      <alignment horizontal="center"/>
    </xf>
    <xf numFmtId="0" fontId="13" fillId="0" borderId="2" xfId="0" applyFont="1" applyBorder="1" applyAlignment="1">
      <alignment horizontal="center" vertical="center"/>
    </xf>
    <xf numFmtId="0" fontId="13" fillId="0" borderId="2" xfId="0" applyFont="1" applyBorder="1" applyAlignment="1">
      <alignment horizontal="center"/>
    </xf>
    <xf numFmtId="174" fontId="177" fillId="0" borderId="10" xfId="0" applyNumberFormat="1" applyFont="1" applyBorder="1" applyAlignment="1">
      <alignment horizontal="center"/>
    </xf>
    <xf numFmtId="174" fontId="60" fillId="0" borderId="9" xfId="0" applyNumberFormat="1" applyFont="1" applyBorder="1" applyAlignment="1">
      <alignment horizontal="center"/>
    </xf>
    <xf numFmtId="168" fontId="177" fillId="0" borderId="8" xfId="0" applyNumberFormat="1" applyFont="1" applyBorder="1" applyAlignment="1">
      <alignment horizontal="center"/>
    </xf>
    <xf numFmtId="174" fontId="177" fillId="0" borderId="9" xfId="0" applyNumberFormat="1" applyFont="1" applyBorder="1" applyAlignment="1">
      <alignment horizontal="center"/>
    </xf>
    <xf numFmtId="0" fontId="127" fillId="32" borderId="0" xfId="0" applyFont="1" applyFill="1"/>
    <xf numFmtId="0" fontId="173" fillId="32" borderId="0" xfId="0" applyFont="1" applyFill="1"/>
    <xf numFmtId="0" fontId="163" fillId="0" borderId="0" xfId="0" applyFont="1" applyAlignment="1">
      <alignment horizontal="center"/>
    </xf>
    <xf numFmtId="9" fontId="62" fillId="0" borderId="0" xfId="0" applyNumberFormat="1" applyFont="1" applyAlignment="1">
      <alignment horizontal="left"/>
    </xf>
    <xf numFmtId="9" fontId="163" fillId="0" borderId="0" xfId="0" applyNumberFormat="1" applyFont="1" applyAlignment="1">
      <alignment horizontal="left"/>
    </xf>
    <xf numFmtId="9" fontId="163" fillId="0" borderId="0" xfId="33" applyFont="1" applyAlignment="1">
      <alignment horizontal="center"/>
    </xf>
    <xf numFmtId="2" fontId="163" fillId="0" borderId="0" xfId="0" applyNumberFormat="1" applyFont="1" applyAlignment="1">
      <alignment horizontal="center"/>
    </xf>
    <xf numFmtId="172" fontId="163" fillId="0" borderId="0" xfId="0" applyNumberFormat="1" applyFont="1" applyAlignment="1">
      <alignment horizontal="center"/>
    </xf>
    <xf numFmtId="172" fontId="140" fillId="0" borderId="0" xfId="0" applyNumberFormat="1" applyFont="1" applyAlignment="1">
      <alignment horizontal="center"/>
    </xf>
    <xf numFmtId="168" fontId="148" fillId="0" borderId="0" xfId="0" applyNumberFormat="1" applyFont="1" applyAlignment="1">
      <alignment horizontal="center"/>
    </xf>
    <xf numFmtId="9" fontId="179" fillId="0" borderId="0" xfId="0" applyNumberFormat="1" applyFont="1" applyAlignment="1">
      <alignment horizontal="center"/>
    </xf>
    <xf numFmtId="168" fontId="168" fillId="0" borderId="0" xfId="0" applyNumberFormat="1" applyFont="1" applyAlignment="1">
      <alignment horizontal="center"/>
    </xf>
    <xf numFmtId="0" fontId="127" fillId="32" borderId="0" xfId="0" applyFont="1" applyFill="1" applyAlignment="1">
      <alignment horizontal="center" wrapText="1"/>
    </xf>
    <xf numFmtId="9" fontId="163" fillId="0" borderId="0" xfId="33" applyFont="1" applyFill="1" applyAlignment="1">
      <alignment horizontal="center"/>
    </xf>
    <xf numFmtId="168" fontId="179" fillId="0" borderId="0" xfId="0" applyNumberFormat="1" applyFont="1" applyAlignment="1">
      <alignment horizontal="center"/>
    </xf>
    <xf numFmtId="0" fontId="140" fillId="0" borderId="0" xfId="0" applyFont="1" applyAlignment="1">
      <alignment horizontal="center"/>
    </xf>
    <xf numFmtId="0" fontId="116" fillId="0" borderId="0" xfId="0" applyFont="1"/>
    <xf numFmtId="9" fontId="116" fillId="0" borderId="0" xfId="0" applyNumberFormat="1" applyFont="1"/>
    <xf numFmtId="211" fontId="62" fillId="0" borderId="0" xfId="0" applyNumberFormat="1" applyFont="1" applyAlignment="1">
      <alignment horizontal="left"/>
    </xf>
    <xf numFmtId="0" fontId="182" fillId="37" borderId="0" xfId="32" applyFont="1" applyFill="1" applyAlignment="1">
      <alignment horizontal="left" vertical="center"/>
    </xf>
    <xf numFmtId="0" fontId="182" fillId="37" borderId="0" xfId="32" applyFont="1" applyFill="1" applyAlignment="1">
      <alignment horizontal="right" vertical="center"/>
    </xf>
    <xf numFmtId="0" fontId="182" fillId="37" borderId="0" xfId="32" applyFont="1" applyFill="1" applyAlignment="1">
      <alignment horizontal="left" vertical="center" indent="1"/>
    </xf>
    <xf numFmtId="9" fontId="182" fillId="37" borderId="0" xfId="33" applyFont="1" applyFill="1" applyBorder="1" applyAlignment="1">
      <alignment horizontal="left" vertical="center"/>
    </xf>
    <xf numFmtId="168" fontId="182" fillId="37" borderId="0" xfId="33" applyNumberFormat="1" applyFont="1" applyFill="1" applyBorder="1" applyAlignment="1">
      <alignment horizontal="left" vertical="center"/>
    </xf>
    <xf numFmtId="168" fontId="40" fillId="0" borderId="0" xfId="32" applyNumberFormat="1"/>
    <xf numFmtId="0" fontId="26" fillId="37" borderId="0" xfId="0" applyFont="1" applyFill="1" applyAlignment="1">
      <alignment vertical="center"/>
    </xf>
    <xf numFmtId="0" fontId="0" fillId="37" borderId="0" xfId="0" applyFill="1" applyAlignment="1">
      <alignment vertical="center"/>
    </xf>
    <xf numFmtId="0" fontId="68" fillId="37" borderId="0" xfId="0" applyFont="1" applyFill="1" applyAlignment="1">
      <alignment horizontal="left" vertical="center" indent="1"/>
    </xf>
    <xf numFmtId="9" fontId="68" fillId="37" borderId="0" xfId="0" applyNumberFormat="1" applyFont="1" applyFill="1" applyAlignment="1">
      <alignment horizontal="left" vertical="center" indent="1"/>
    </xf>
    <xf numFmtId="0" fontId="178" fillId="0" borderId="0" xfId="0" applyFont="1"/>
    <xf numFmtId="0" fontId="178" fillId="54" borderId="0" xfId="0" applyFont="1" applyFill="1"/>
    <xf numFmtId="0" fontId="183" fillId="0" borderId="0" xfId="0" applyFont="1"/>
    <xf numFmtId="0" fontId="183" fillId="0" borderId="0" xfId="0" applyFont="1" applyAlignment="1">
      <alignment horizontal="left"/>
    </xf>
    <xf numFmtId="0" fontId="184" fillId="0" borderId="0" xfId="0" applyFont="1"/>
    <xf numFmtId="212" fontId="62" fillId="0" borderId="0" xfId="0" applyNumberFormat="1" applyFont="1" applyAlignment="1">
      <alignment horizontal="center"/>
    </xf>
    <xf numFmtId="213" fontId="62" fillId="0" borderId="0" xfId="0" applyNumberFormat="1" applyFont="1" applyAlignment="1">
      <alignment horizontal="center"/>
    </xf>
    <xf numFmtId="0" fontId="0" fillId="41" borderId="0" xfId="0" applyFill="1" applyAlignment="1">
      <alignment vertical="center"/>
    </xf>
    <xf numFmtId="0" fontId="185" fillId="0" borderId="0" xfId="32" applyFont="1"/>
    <xf numFmtId="0" fontId="186" fillId="0" borderId="0" xfId="32" applyFont="1"/>
    <xf numFmtId="2" fontId="140" fillId="0" borderId="0" xfId="0" applyNumberFormat="1" applyFont="1" applyAlignment="1">
      <alignment horizontal="center"/>
    </xf>
    <xf numFmtId="0" fontId="127" fillId="0" borderId="0" xfId="0" applyFont="1" applyAlignment="1">
      <alignment horizontal="left" indent="1"/>
    </xf>
    <xf numFmtId="172" fontId="26" fillId="0" borderId="0" xfId="0" applyNumberFormat="1" applyFont="1" applyAlignment="1">
      <alignment horizontal="center"/>
    </xf>
    <xf numFmtId="172" fontId="139" fillId="0" borderId="0" xfId="0" applyNumberFormat="1" applyFont="1" applyAlignment="1">
      <alignment horizontal="center"/>
    </xf>
    <xf numFmtId="0" fontId="139" fillId="0" borderId="0" xfId="0" applyFont="1" applyAlignment="1">
      <alignment horizontal="center"/>
    </xf>
    <xf numFmtId="9" fontId="127" fillId="0" borderId="0" xfId="33" applyFont="1" applyAlignment="1">
      <alignment horizontal="center"/>
    </xf>
    <xf numFmtId="9" fontId="187" fillId="0" borderId="58" xfId="32" applyNumberFormat="1" applyFont="1" applyBorder="1" applyAlignment="1">
      <alignment horizontal="center" vertical="center"/>
    </xf>
    <xf numFmtId="9" fontId="187" fillId="0" borderId="3" xfId="32" applyNumberFormat="1" applyFont="1" applyBorder="1" applyAlignment="1">
      <alignment horizontal="center" vertical="center"/>
    </xf>
    <xf numFmtId="9" fontId="187" fillId="0" borderId="59" xfId="32" applyNumberFormat="1" applyFont="1" applyBorder="1" applyAlignment="1">
      <alignment horizontal="center" vertical="center"/>
    </xf>
    <xf numFmtId="0" fontId="16" fillId="33" borderId="39" xfId="32" applyFont="1" applyFill="1" applyBorder="1"/>
    <xf numFmtId="0" fontId="16" fillId="33" borderId="109" xfId="32" applyFont="1" applyFill="1" applyBorder="1"/>
    <xf numFmtId="0" fontId="16" fillId="33" borderId="40" xfId="32" applyFont="1" applyFill="1" applyBorder="1" applyAlignment="1">
      <alignment horizontal="center"/>
    </xf>
    <xf numFmtId="174" fontId="16" fillId="33" borderId="132" xfId="32" applyNumberFormat="1" applyFont="1" applyFill="1" applyBorder="1" applyAlignment="1">
      <alignment horizontal="center"/>
    </xf>
    <xf numFmtId="174" fontId="16" fillId="33" borderId="133" xfId="32" applyNumberFormat="1" applyFont="1" applyFill="1" applyBorder="1" applyAlignment="1">
      <alignment horizontal="center"/>
    </xf>
    <xf numFmtId="174" fontId="16" fillId="33" borderId="45" xfId="32" applyNumberFormat="1" applyFont="1" applyFill="1" applyBorder="1" applyAlignment="1">
      <alignment horizontal="center"/>
    </xf>
    <xf numFmtId="0" fontId="16" fillId="33" borderId="54" xfId="32" applyFont="1" applyFill="1" applyBorder="1" applyAlignment="1">
      <alignment horizontal="center"/>
    </xf>
    <xf numFmtId="9" fontId="16" fillId="33" borderId="54" xfId="33" applyFont="1" applyFill="1" applyBorder="1" applyAlignment="1">
      <alignment horizontal="center"/>
    </xf>
    <xf numFmtId="9" fontId="16" fillId="33" borderId="51" xfId="33" applyFont="1" applyFill="1" applyBorder="1" applyAlignment="1">
      <alignment horizontal="center"/>
    </xf>
    <xf numFmtId="9" fontId="16" fillId="33" borderId="50" xfId="33" applyFont="1" applyFill="1" applyBorder="1" applyAlignment="1">
      <alignment horizontal="center"/>
    </xf>
    <xf numFmtId="0" fontId="40" fillId="0" borderId="0" xfId="32" applyAlignment="1">
      <alignment horizontal="right"/>
    </xf>
    <xf numFmtId="9" fontId="40" fillId="0" borderId="71" xfId="33" applyFont="1" applyBorder="1" applyAlignment="1">
      <alignment horizontal="center"/>
    </xf>
    <xf numFmtId="9" fontId="40" fillId="0" borderId="0" xfId="33" applyFont="1" applyBorder="1" applyAlignment="1">
      <alignment horizontal="center"/>
    </xf>
    <xf numFmtId="9" fontId="40" fillId="0" borderId="36" xfId="33" applyFont="1" applyBorder="1" applyAlignment="1">
      <alignment horizontal="center"/>
    </xf>
    <xf numFmtId="9" fontId="40" fillId="0" borderId="72" xfId="33" applyFont="1" applyBorder="1" applyAlignment="1">
      <alignment horizontal="center"/>
    </xf>
    <xf numFmtId="9" fontId="40" fillId="0" borderId="44" xfId="33" applyFont="1" applyBorder="1" applyAlignment="1">
      <alignment horizontal="center"/>
    </xf>
    <xf numFmtId="9" fontId="40" fillId="0" borderId="37" xfId="33" applyFont="1" applyBorder="1" applyAlignment="1">
      <alignment horizontal="center"/>
    </xf>
    <xf numFmtId="0" fontId="40" fillId="0" borderId="136" xfId="32" applyBorder="1" applyAlignment="1">
      <alignment horizontal="center"/>
    </xf>
    <xf numFmtId="0" fontId="40" fillId="0" borderId="137" xfId="32" applyBorder="1" applyAlignment="1">
      <alignment horizontal="center"/>
    </xf>
    <xf numFmtId="0" fontId="40" fillId="0" borderId="138" xfId="32" applyBorder="1" applyAlignment="1">
      <alignment horizontal="center"/>
    </xf>
    <xf numFmtId="0" fontId="180" fillId="0" borderId="0" xfId="32" applyFont="1"/>
    <xf numFmtId="0" fontId="181" fillId="0" borderId="136" xfId="32" applyFont="1" applyBorder="1" applyAlignment="1">
      <alignment horizontal="center"/>
    </xf>
    <xf numFmtId="0" fontId="181" fillId="0" borderId="138" xfId="32" applyFont="1" applyBorder="1" applyAlignment="1">
      <alignment horizontal="center"/>
    </xf>
    <xf numFmtId="9" fontId="40" fillId="0" borderId="71" xfId="32" applyNumberFormat="1" applyBorder="1"/>
    <xf numFmtId="49" fontId="40" fillId="0" borderId="0" xfId="32" applyNumberFormat="1" applyAlignment="1">
      <alignment horizontal="center"/>
    </xf>
    <xf numFmtId="9" fontId="40" fillId="0" borderId="36" xfId="32" applyNumberFormat="1" applyBorder="1" applyAlignment="1">
      <alignment horizontal="left"/>
    </xf>
    <xf numFmtId="0" fontId="180" fillId="0" borderId="72" xfId="32" applyFont="1" applyBorder="1" applyAlignment="1">
      <alignment horizontal="right" vertical="center"/>
    </xf>
    <xf numFmtId="49" fontId="180" fillId="0" borderId="44" xfId="32" applyNumberFormat="1" applyFont="1" applyBorder="1" applyAlignment="1">
      <alignment horizontal="center" vertical="center"/>
    </xf>
    <xf numFmtId="0" fontId="180" fillId="0" borderId="37" xfId="32" applyFont="1" applyBorder="1" applyAlignment="1">
      <alignment horizontal="left" vertical="center"/>
    </xf>
    <xf numFmtId="0" fontId="190" fillId="0" borderId="0" xfId="32" applyFont="1"/>
    <xf numFmtId="0" fontId="127" fillId="0" borderId="0" xfId="0" applyFont="1" applyAlignment="1">
      <alignment horizontal="center"/>
    </xf>
    <xf numFmtId="0" fontId="75" fillId="37" borderId="0" xfId="32" applyFont="1" applyFill="1"/>
    <xf numFmtId="0" fontId="3" fillId="37" borderId="0" xfId="0" applyFont="1" applyFill="1"/>
    <xf numFmtId="0" fontId="191" fillId="0" borderId="0" xfId="32" applyFont="1"/>
    <xf numFmtId="174" fontId="40" fillId="0" borderId="71" xfId="33" applyNumberFormat="1" applyFont="1" applyBorder="1" applyAlignment="1">
      <alignment horizontal="center"/>
    </xf>
    <xf numFmtId="174" fontId="40" fillId="0" borderId="0" xfId="33" applyNumberFormat="1" applyFont="1" applyBorder="1" applyAlignment="1">
      <alignment horizontal="center"/>
    </xf>
    <xf numFmtId="174" fontId="40" fillId="0" borderId="36" xfId="33" applyNumberFormat="1" applyFont="1" applyBorder="1" applyAlignment="1">
      <alignment horizontal="center"/>
    </xf>
    <xf numFmtId="174" fontId="40" fillId="0" borderId="72" xfId="33" applyNumberFormat="1" applyFont="1" applyBorder="1" applyAlignment="1">
      <alignment horizontal="center"/>
    </xf>
    <xf numFmtId="174" fontId="40" fillId="0" borderId="44" xfId="33" applyNumberFormat="1" applyFont="1" applyBorder="1" applyAlignment="1">
      <alignment horizontal="center"/>
    </xf>
    <xf numFmtId="174" fontId="40" fillId="0" borderId="37" xfId="33" applyNumberFormat="1" applyFont="1" applyBorder="1" applyAlignment="1">
      <alignment horizontal="center"/>
    </xf>
    <xf numFmtId="172" fontId="40" fillId="0" borderId="0" xfId="32" applyNumberFormat="1" applyAlignment="1">
      <alignment horizontal="center"/>
    </xf>
    <xf numFmtId="0" fontId="192" fillId="0" borderId="0" xfId="32" applyFont="1" applyAlignment="1">
      <alignment horizontal="right"/>
    </xf>
    <xf numFmtId="172" fontId="118" fillId="0" borderId="0" xfId="0" applyNumberFormat="1" applyFont="1"/>
    <xf numFmtId="0" fontId="193" fillId="32" borderId="0" xfId="0" applyFont="1" applyFill="1"/>
    <xf numFmtId="214" fontId="182" fillId="37" borderId="0" xfId="33" applyNumberFormat="1" applyFont="1" applyFill="1" applyBorder="1" applyAlignment="1">
      <alignment horizontal="left" vertical="center"/>
    </xf>
    <xf numFmtId="214" fontId="194" fillId="37" borderId="0" xfId="33" applyNumberFormat="1" applyFont="1" applyFill="1" applyBorder="1" applyAlignment="1">
      <alignment horizontal="left" vertical="center"/>
    </xf>
    <xf numFmtId="214" fontId="195" fillId="37" borderId="0" xfId="33" applyNumberFormat="1" applyFont="1" applyFill="1" applyBorder="1" applyAlignment="1">
      <alignment horizontal="left" vertical="center"/>
    </xf>
    <xf numFmtId="199" fontId="91" fillId="0" borderId="0" xfId="0" applyNumberFormat="1" applyFont="1" applyAlignment="1">
      <alignment vertical="top"/>
    </xf>
    <xf numFmtId="0" fontId="58" fillId="0" borderId="0" xfId="1" applyFont="1"/>
    <xf numFmtId="0" fontId="170" fillId="0" borderId="0" xfId="0" applyFont="1" applyAlignment="1">
      <alignment horizontal="center"/>
    </xf>
    <xf numFmtId="0" fontId="197" fillId="0" borderId="0" xfId="0" applyFont="1" applyAlignment="1">
      <alignment horizontal="center"/>
    </xf>
    <xf numFmtId="0" fontId="12" fillId="28" borderId="10" xfId="0" applyFont="1" applyFill="1" applyBorder="1" applyAlignment="1">
      <alignment horizontal="center"/>
    </xf>
    <xf numFmtId="172" fontId="62" fillId="0" borderId="0" xfId="0" applyNumberFormat="1" applyFont="1" applyAlignment="1">
      <alignment horizontal="center"/>
    </xf>
    <xf numFmtId="172" fontId="196" fillId="0" borderId="0" xfId="0" applyNumberFormat="1" applyFont="1" applyAlignment="1">
      <alignment horizontal="center"/>
    </xf>
    <xf numFmtId="172" fontId="198" fillId="32" borderId="0" xfId="0" applyNumberFormat="1" applyFont="1" applyFill="1"/>
    <xf numFmtId="0" fontId="198" fillId="32" borderId="0" xfId="0" applyFont="1" applyFill="1"/>
    <xf numFmtId="9" fontId="61" fillId="0" borderId="62" xfId="32" applyNumberFormat="1" applyFont="1" applyBorder="1" applyAlignment="1">
      <alignment horizontal="center" vertical="center"/>
    </xf>
    <xf numFmtId="0" fontId="56" fillId="56" borderId="0" xfId="32" applyFont="1" applyFill="1" applyAlignment="1">
      <alignment horizontal="center" vertical="center"/>
    </xf>
    <xf numFmtId="211" fontId="56" fillId="40" borderId="0" xfId="33" applyNumberFormat="1" applyFont="1" applyFill="1" applyBorder="1" applyAlignment="1">
      <alignment horizontal="center" vertical="center"/>
    </xf>
    <xf numFmtId="0" fontId="56" fillId="0" borderId="0" xfId="32" applyFont="1" applyAlignment="1">
      <alignment horizontal="center" vertical="center"/>
    </xf>
    <xf numFmtId="0" fontId="40" fillId="57" borderId="0" xfId="32" applyFill="1"/>
    <xf numFmtId="0" fontId="199" fillId="57" borderId="0" xfId="32" applyFont="1" applyFill="1"/>
    <xf numFmtId="0" fontId="200" fillId="0" borderId="0" xfId="32" applyFont="1" applyAlignment="1">
      <alignment horizontal="right"/>
    </xf>
    <xf numFmtId="174" fontId="40" fillId="49" borderId="0" xfId="32" applyNumberFormat="1" applyFill="1" applyAlignment="1">
      <alignment horizontal="center"/>
    </xf>
    <xf numFmtId="0" fontId="40" fillId="49" borderId="0" xfId="32" applyFill="1"/>
    <xf numFmtId="168" fontId="40" fillId="49" borderId="0" xfId="33" applyNumberFormat="1" applyFont="1" applyFill="1" applyAlignment="1">
      <alignment horizontal="center"/>
    </xf>
    <xf numFmtId="0" fontId="180" fillId="0" borderId="0" xfId="32" applyFont="1" applyAlignment="1">
      <alignment horizontal="center"/>
    </xf>
    <xf numFmtId="172" fontId="40" fillId="49" borderId="0" xfId="32" applyNumberFormat="1" applyFill="1" applyAlignment="1">
      <alignment horizontal="center"/>
    </xf>
    <xf numFmtId="1" fontId="40" fillId="49" borderId="0" xfId="32" applyNumberFormat="1" applyFill="1" applyAlignment="1">
      <alignment horizontal="center"/>
    </xf>
    <xf numFmtId="3" fontId="16" fillId="28" borderId="38" xfId="32" applyNumberFormat="1" applyFont="1" applyFill="1" applyBorder="1" applyAlignment="1">
      <alignment horizontal="center"/>
    </xf>
    <xf numFmtId="3" fontId="56" fillId="0" borderId="0" xfId="32" applyNumberFormat="1" applyFont="1" applyAlignment="1">
      <alignment horizontal="right" vertical="center"/>
    </xf>
    <xf numFmtId="215" fontId="0" fillId="0" borderId="0" xfId="0" applyNumberFormat="1" applyAlignment="1">
      <alignment horizontal="center"/>
    </xf>
    <xf numFmtId="216" fontId="0" fillId="0" borderId="0" xfId="0" applyNumberFormat="1" applyAlignment="1">
      <alignment horizontal="center"/>
    </xf>
    <xf numFmtId="3" fontId="40" fillId="40" borderId="142" xfId="32" applyNumberFormat="1" applyFill="1" applyBorder="1" applyAlignment="1">
      <alignment horizontal="center" vertical="center"/>
    </xf>
    <xf numFmtId="3" fontId="40" fillId="40" borderId="143" xfId="32" applyNumberFormat="1" applyFill="1" applyBorder="1" applyAlignment="1">
      <alignment horizontal="center" vertical="center"/>
    </xf>
    <xf numFmtId="3" fontId="40" fillId="40" borderId="113" xfId="32" applyNumberFormat="1" applyFill="1" applyBorder="1" applyAlignment="1">
      <alignment horizontal="center" vertical="center"/>
    </xf>
    <xf numFmtId="3" fontId="40" fillId="40" borderId="114" xfId="32" applyNumberFormat="1" applyFill="1" applyBorder="1" applyAlignment="1">
      <alignment horizontal="center" vertical="center"/>
    </xf>
    <xf numFmtId="197" fontId="0" fillId="28" borderId="0" xfId="0" applyNumberFormat="1" applyFill="1" applyAlignment="1">
      <alignment horizontal="center"/>
    </xf>
    <xf numFmtId="1" fontId="0" fillId="28" borderId="0" xfId="0" applyNumberFormat="1" applyFill="1"/>
    <xf numFmtId="192" fontId="0" fillId="28" borderId="0" xfId="0" applyNumberFormat="1" applyFill="1" applyAlignment="1">
      <alignment horizontal="center"/>
    </xf>
    <xf numFmtId="216" fontId="0" fillId="28" borderId="0" xfId="0" applyNumberFormat="1" applyFill="1" applyAlignment="1">
      <alignment horizontal="center"/>
    </xf>
    <xf numFmtId="196" fontId="0" fillId="28" borderId="0" xfId="0" applyNumberFormat="1" applyFill="1" applyAlignment="1">
      <alignment horizontal="center"/>
    </xf>
    <xf numFmtId="188" fontId="0" fillId="28" borderId="0" xfId="0" applyNumberFormat="1" applyFill="1" applyAlignment="1">
      <alignment horizontal="center"/>
    </xf>
    <xf numFmtId="172" fontId="118" fillId="28" borderId="0" xfId="0" applyNumberFormat="1" applyFont="1" applyFill="1"/>
    <xf numFmtId="0" fontId="118" fillId="28" borderId="0" xfId="0" applyFont="1" applyFill="1"/>
    <xf numFmtId="172" fontId="177" fillId="0" borderId="0" xfId="0" applyNumberFormat="1" applyFont="1"/>
    <xf numFmtId="0" fontId="177" fillId="0" borderId="0" xfId="0" applyFont="1"/>
    <xf numFmtId="0" fontId="201" fillId="0" borderId="0" xfId="48"/>
    <xf numFmtId="0" fontId="202" fillId="0" borderId="0" xfId="48" applyFont="1"/>
    <xf numFmtId="0" fontId="201" fillId="0" borderId="111" xfId="48" applyBorder="1"/>
    <xf numFmtId="0" fontId="203" fillId="0" borderId="110" xfId="48" applyFont="1" applyBorder="1"/>
    <xf numFmtId="9" fontId="201" fillId="0" borderId="0" xfId="48" applyNumberFormat="1"/>
    <xf numFmtId="164" fontId="201" fillId="0" borderId="0" xfId="48" applyNumberFormat="1"/>
    <xf numFmtId="0" fontId="201" fillId="0" borderId="40" xfId="48" applyBorder="1"/>
    <xf numFmtId="0" fontId="201" fillId="0" borderId="109" xfId="48" applyBorder="1"/>
    <xf numFmtId="0" fontId="203" fillId="0" borderId="39" xfId="48" applyFont="1" applyBorder="1"/>
    <xf numFmtId="0" fontId="203" fillId="0" borderId="109" xfId="48" applyFont="1" applyBorder="1"/>
    <xf numFmtId="0" fontId="203" fillId="28" borderId="110" xfId="48" applyFont="1" applyFill="1" applyBorder="1"/>
    <xf numFmtId="168" fontId="205" fillId="41" borderId="0" xfId="33" applyNumberFormat="1" applyFont="1" applyFill="1"/>
    <xf numFmtId="0" fontId="203" fillId="0" borderId="0" xfId="48" applyFont="1"/>
    <xf numFmtId="0" fontId="208" fillId="41" borderId="0" xfId="0" applyFont="1" applyFill="1" applyAlignment="1">
      <alignment horizontal="center"/>
    </xf>
    <xf numFmtId="172" fontId="208" fillId="41" borderId="0" xfId="0" applyNumberFormat="1" applyFont="1" applyFill="1"/>
    <xf numFmtId="1" fontId="208" fillId="41" borderId="0" xfId="0" applyNumberFormat="1" applyFont="1" applyFill="1"/>
    <xf numFmtId="0" fontId="0" fillId="41" borderId="0" xfId="0" applyFill="1"/>
    <xf numFmtId="1" fontId="205" fillId="41" borderId="0" xfId="48" applyNumberFormat="1" applyFont="1" applyFill="1"/>
    <xf numFmtId="9" fontId="205" fillId="41" borderId="0" xfId="33" applyFont="1" applyFill="1"/>
    <xf numFmtId="172" fontId="205" fillId="41" borderId="0" xfId="48" applyNumberFormat="1" applyFont="1" applyFill="1"/>
    <xf numFmtId="9" fontId="205" fillId="41" borderId="0" xfId="48" applyNumberFormat="1" applyFont="1" applyFill="1"/>
    <xf numFmtId="164" fontId="205" fillId="41" borderId="0" xfId="48" applyNumberFormat="1" applyFont="1" applyFill="1"/>
    <xf numFmtId="164" fontId="209" fillId="0" borderId="0" xfId="48" applyNumberFormat="1" applyFont="1"/>
    <xf numFmtId="168" fontId="209" fillId="0" borderId="0" xfId="48" applyNumberFormat="1" applyFont="1"/>
    <xf numFmtId="0" fontId="211" fillId="0" borderId="0" xfId="0" applyFont="1"/>
    <xf numFmtId="9" fontId="177" fillId="41" borderId="0" xfId="33" applyFont="1" applyFill="1"/>
    <xf numFmtId="0" fontId="177" fillId="41" borderId="0" xfId="0" applyFont="1" applyFill="1"/>
    <xf numFmtId="0" fontId="212" fillId="60" borderId="18" xfId="0" applyFont="1" applyFill="1" applyBorder="1"/>
    <xf numFmtId="0" fontId="0" fillId="60" borderId="19" xfId="0" applyFill="1" applyBorder="1"/>
    <xf numFmtId="0" fontId="0" fillId="60" borderId="31" xfId="0" applyFill="1" applyBorder="1"/>
    <xf numFmtId="0" fontId="0" fillId="60" borderId="20" xfId="0" applyFill="1" applyBorder="1"/>
    <xf numFmtId="0" fontId="0" fillId="60" borderId="0" xfId="0" applyFill="1"/>
    <xf numFmtId="0" fontId="0" fillId="60" borderId="32" xfId="0" applyFill="1" applyBorder="1"/>
    <xf numFmtId="0" fontId="26" fillId="60" borderId="0" xfId="0" applyFont="1" applyFill="1"/>
    <xf numFmtId="0" fontId="0" fillId="60" borderId="21" xfId="0" applyFill="1" applyBorder="1"/>
    <xf numFmtId="0" fontId="0" fillId="60" borderId="22" xfId="0" applyFill="1" applyBorder="1"/>
    <xf numFmtId="0" fontId="0" fillId="60" borderId="33" xfId="0" applyFill="1" applyBorder="1"/>
    <xf numFmtId="0" fontId="212" fillId="59" borderId="0" xfId="0" applyFont="1" applyFill="1"/>
    <xf numFmtId="0" fontId="0" fillId="59" borderId="0" xfId="0" applyFill="1"/>
    <xf numFmtId="172" fontId="116" fillId="28" borderId="0" xfId="0" applyNumberFormat="1" applyFont="1" applyFill="1"/>
    <xf numFmtId="0" fontId="116" fillId="28" borderId="0" xfId="0" applyFont="1" applyFill="1"/>
    <xf numFmtId="0" fontId="148" fillId="0" borderId="0" xfId="0" applyFont="1"/>
    <xf numFmtId="1" fontId="26" fillId="0" borderId="0" xfId="0" applyNumberFormat="1" applyFont="1"/>
    <xf numFmtId="1" fontId="26" fillId="28" borderId="0" xfId="0" applyNumberFormat="1" applyFont="1" applyFill="1"/>
    <xf numFmtId="172" fontId="26" fillId="41" borderId="0" xfId="0" applyNumberFormat="1" applyFont="1" applyFill="1"/>
    <xf numFmtId="0" fontId="26" fillId="41" borderId="0" xfId="0" applyFont="1" applyFill="1"/>
    <xf numFmtId="9" fontId="26" fillId="41" borderId="0" xfId="33" applyFont="1" applyFill="1" applyAlignment="1">
      <alignment vertical="center"/>
    </xf>
    <xf numFmtId="0" fontId="26" fillId="41" borderId="0" xfId="0" applyFont="1" applyFill="1" applyAlignment="1">
      <alignment vertical="center"/>
    </xf>
    <xf numFmtId="164" fontId="201" fillId="32" borderId="0" xfId="48" applyNumberFormat="1" applyFill="1"/>
    <xf numFmtId="0" fontId="201" fillId="28" borderId="0" xfId="48" applyFill="1"/>
    <xf numFmtId="9" fontId="213" fillId="0" borderId="0" xfId="48" applyNumberFormat="1" applyFont="1"/>
    <xf numFmtId="0" fontId="168" fillId="28" borderId="0" xfId="0" applyFont="1" applyFill="1"/>
    <xf numFmtId="0" fontId="203" fillId="0" borderId="0" xfId="48" applyFont="1" applyAlignment="1">
      <alignment horizontal="center"/>
    </xf>
    <xf numFmtId="0" fontId="201" fillId="0" borderId="0" xfId="48" applyAlignment="1">
      <alignment horizontal="center"/>
    </xf>
    <xf numFmtId="0" fontId="203" fillId="32" borderId="50" xfId="48" applyFont="1" applyFill="1" applyBorder="1" applyAlignment="1">
      <alignment vertical="center"/>
    </xf>
    <xf numFmtId="0" fontId="203" fillId="32" borderId="38" xfId="48" applyFont="1" applyFill="1" applyBorder="1" applyAlignment="1">
      <alignment horizontal="center" vertical="center"/>
    </xf>
    <xf numFmtId="0" fontId="203" fillId="36" borderId="145" xfId="48" applyFont="1" applyFill="1" applyBorder="1" applyAlignment="1">
      <alignment horizontal="right"/>
    </xf>
    <xf numFmtId="0" fontId="203" fillId="36" borderId="144" xfId="48" applyFont="1" applyFill="1" applyBorder="1" applyAlignment="1">
      <alignment horizontal="center"/>
    </xf>
    <xf numFmtId="0" fontId="203" fillId="0" borderId="110" xfId="48" applyFont="1" applyBorder="1" applyAlignment="1">
      <alignment horizontal="right" vertical="center"/>
    </xf>
    <xf numFmtId="0" fontId="203" fillId="40" borderId="110" xfId="48" applyFont="1" applyFill="1" applyBorder="1" applyAlignment="1">
      <alignment horizontal="right" vertical="center"/>
    </xf>
    <xf numFmtId="0" fontId="203" fillId="0" borderId="112" xfId="48" applyFont="1" applyBorder="1" applyAlignment="1">
      <alignment horizontal="right" vertical="center"/>
    </xf>
    <xf numFmtId="175" fontId="210" fillId="46" borderId="48" xfId="48" applyNumberFormat="1" applyFont="1" applyFill="1" applyBorder="1" applyAlignment="1">
      <alignment horizontal="right" vertical="center" indent="1"/>
    </xf>
    <xf numFmtId="164" fontId="210" fillId="0" borderId="48" xfId="48" applyNumberFormat="1" applyFont="1" applyBorder="1" applyAlignment="1">
      <alignment horizontal="right" vertical="center" indent="1"/>
    </xf>
    <xf numFmtId="175" fontId="210" fillId="0" borderId="48" xfId="48" applyNumberFormat="1" applyFont="1" applyBorder="1" applyAlignment="1">
      <alignment horizontal="right" vertical="center" indent="1"/>
    </xf>
    <xf numFmtId="168" fontId="210" fillId="0" borderId="48" xfId="48" applyNumberFormat="1" applyFont="1" applyBorder="1" applyAlignment="1">
      <alignment horizontal="right" vertical="center" indent="1"/>
    </xf>
    <xf numFmtId="164" fontId="210" fillId="58" borderId="48" xfId="48" applyNumberFormat="1" applyFont="1" applyFill="1" applyBorder="1" applyAlignment="1">
      <alignment horizontal="right" vertical="center" indent="1"/>
    </xf>
    <xf numFmtId="1" fontId="210" fillId="0" borderId="48" xfId="48" applyNumberFormat="1" applyFont="1" applyBorder="1" applyAlignment="1">
      <alignment horizontal="right" vertical="center" indent="1"/>
    </xf>
    <xf numFmtId="9" fontId="203" fillId="0" borderId="49" xfId="48" applyNumberFormat="1" applyFont="1" applyBorder="1" applyAlignment="1">
      <alignment horizontal="right" vertical="center" indent="1"/>
    </xf>
    <xf numFmtId="0" fontId="203" fillId="0" borderId="40" xfId="48" applyFont="1" applyBorder="1"/>
    <xf numFmtId="0" fontId="202" fillId="0" borderId="0" xfId="48" applyFont="1" applyAlignment="1">
      <alignment horizontal="right"/>
    </xf>
    <xf numFmtId="9" fontId="202" fillId="0" borderId="0" xfId="48" applyNumberFormat="1" applyFont="1" applyAlignment="1">
      <alignment horizontal="right"/>
    </xf>
    <xf numFmtId="9" fontId="201" fillId="0" borderId="111" xfId="48" applyNumberFormat="1" applyBorder="1"/>
    <xf numFmtId="0" fontId="203" fillId="0" borderId="0" xfId="48" applyFont="1" applyAlignment="1">
      <alignment horizontal="right"/>
    </xf>
    <xf numFmtId="164" fontId="203" fillId="28" borderId="0" xfId="48" applyNumberFormat="1" applyFont="1" applyFill="1"/>
    <xf numFmtId="164" fontId="201" fillId="32" borderId="110" xfId="48" applyNumberFormat="1" applyFill="1" applyBorder="1"/>
    <xf numFmtId="164" fontId="201" fillId="0" borderId="110" xfId="48" applyNumberFormat="1" applyBorder="1"/>
    <xf numFmtId="164" fontId="201" fillId="32" borderId="111" xfId="48" applyNumberFormat="1" applyFill="1" applyBorder="1"/>
    <xf numFmtId="164" fontId="203" fillId="28" borderId="110" xfId="48" applyNumberFormat="1" applyFont="1" applyFill="1" applyBorder="1"/>
    <xf numFmtId="164" fontId="203" fillId="28" borderId="111" xfId="48" applyNumberFormat="1" applyFont="1" applyFill="1" applyBorder="1"/>
    <xf numFmtId="9" fontId="201" fillId="0" borderId="110" xfId="48" applyNumberFormat="1" applyBorder="1"/>
    <xf numFmtId="164" fontId="201" fillId="32" borderId="39" xfId="48" applyNumberFormat="1" applyFill="1" applyBorder="1"/>
    <xf numFmtId="164" fontId="201" fillId="0" borderId="109" xfId="48" applyNumberFormat="1" applyBorder="1"/>
    <xf numFmtId="218" fontId="210" fillId="40" borderId="48" xfId="48" applyNumberFormat="1" applyFont="1" applyFill="1" applyBorder="1" applyAlignment="1">
      <alignment horizontal="right" vertical="center" indent="1"/>
    </xf>
    <xf numFmtId="218" fontId="210" fillId="0" borderId="48" xfId="48" applyNumberFormat="1" applyFont="1" applyBorder="1" applyAlignment="1">
      <alignment horizontal="right" vertical="center" indent="1"/>
    </xf>
    <xf numFmtId="4" fontId="210" fillId="46" borderId="48" xfId="48" applyNumberFormat="1" applyFont="1" applyFill="1" applyBorder="1" applyAlignment="1">
      <alignment horizontal="right" vertical="center" indent="1"/>
    </xf>
    <xf numFmtId="201" fontId="213" fillId="0" borderId="0" xfId="48" applyNumberFormat="1" applyFont="1" applyAlignment="1">
      <alignment horizontal="center"/>
    </xf>
    <xf numFmtId="0" fontId="201" fillId="41" borderId="0" xfId="48" applyFill="1"/>
    <xf numFmtId="0" fontId="203" fillId="41" borderId="0" xfId="48" applyFont="1" applyFill="1"/>
    <xf numFmtId="165" fontId="201" fillId="41" borderId="0" xfId="34" applyFont="1" applyFill="1"/>
    <xf numFmtId="9" fontId="206" fillId="41" borderId="0" xfId="48" applyNumberFormat="1" applyFont="1" applyFill="1"/>
    <xf numFmtId="3" fontId="213" fillId="41" borderId="0" xfId="48" applyNumberFormat="1" applyFont="1" applyFill="1"/>
    <xf numFmtId="175" fontId="213" fillId="41" borderId="0" xfId="48" applyNumberFormat="1" applyFont="1" applyFill="1"/>
    <xf numFmtId="4" fontId="203" fillId="41" borderId="0" xfId="48" applyNumberFormat="1" applyFont="1" applyFill="1"/>
    <xf numFmtId="164" fontId="201" fillId="41" borderId="0" xfId="48" applyNumberFormat="1" applyFill="1"/>
    <xf numFmtId="0" fontId="26" fillId="41" borderId="0" xfId="0" applyFont="1" applyFill="1" applyAlignment="1">
      <alignment horizontal="left" vertical="center" indent="1"/>
    </xf>
    <xf numFmtId="3" fontId="210" fillId="0" borderId="48" xfId="48" applyNumberFormat="1" applyFont="1" applyBorder="1" applyAlignment="1">
      <alignment horizontal="right" vertical="center" indent="1"/>
    </xf>
    <xf numFmtId="0" fontId="210" fillId="0" borderId="110" xfId="48" applyFont="1" applyBorder="1" applyAlignment="1">
      <alignment horizontal="right" vertical="center"/>
    </xf>
    <xf numFmtId="0" fontId="210" fillId="58" borderId="110" xfId="48" applyFont="1" applyFill="1" applyBorder="1" applyAlignment="1">
      <alignment horizontal="right" vertical="center"/>
    </xf>
    <xf numFmtId="0" fontId="202" fillId="0" borderId="0" xfId="48" applyFont="1" applyAlignment="1">
      <alignment vertical="center"/>
    </xf>
    <xf numFmtId="0" fontId="201" fillId="0" borderId="0" xfId="48" applyAlignment="1">
      <alignment vertical="center"/>
    </xf>
    <xf numFmtId="168" fontId="201" fillId="0" borderId="0" xfId="48" applyNumberFormat="1" applyAlignment="1">
      <alignment vertical="center"/>
    </xf>
    <xf numFmtId="164" fontId="203" fillId="28" borderId="38" xfId="48" applyNumberFormat="1" applyFont="1" applyFill="1" applyBorder="1" applyAlignment="1">
      <alignment vertical="center"/>
    </xf>
    <xf numFmtId="0" fontId="201" fillId="28" borderId="50" xfId="48" applyFill="1" applyBorder="1" applyAlignment="1">
      <alignment vertical="center"/>
    </xf>
    <xf numFmtId="0" fontId="203" fillId="28" borderId="54" xfId="48" applyFont="1" applyFill="1" applyBorder="1" applyAlignment="1">
      <alignment horizontal="right" vertical="center"/>
    </xf>
    <xf numFmtId="0" fontId="209" fillId="0" borderId="0" xfId="48" applyFont="1"/>
    <xf numFmtId="0" fontId="214" fillId="0" borderId="0" xfId="48" applyFont="1"/>
    <xf numFmtId="0" fontId="214" fillId="0" borderId="0" xfId="48" applyFont="1" applyAlignment="1">
      <alignment horizontal="right" vertical="center"/>
    </xf>
    <xf numFmtId="0" fontId="209" fillId="0" borderId="113" xfId="48" applyFont="1" applyBorder="1" applyAlignment="1">
      <alignment vertical="center"/>
    </xf>
    <xf numFmtId="168" fontId="209" fillId="0" borderId="112" xfId="48" applyNumberFormat="1" applyFont="1" applyBorder="1" applyAlignment="1">
      <alignment vertical="center"/>
    </xf>
    <xf numFmtId="168" fontId="209" fillId="0" borderId="113" xfId="48" applyNumberFormat="1" applyFont="1" applyBorder="1" applyAlignment="1">
      <alignment vertical="center"/>
    </xf>
    <xf numFmtId="168" fontId="209" fillId="0" borderId="114" xfId="48" applyNumberFormat="1" applyFont="1" applyBorder="1" applyAlignment="1">
      <alignment vertical="center"/>
    </xf>
    <xf numFmtId="0" fontId="209" fillId="0" borderId="0" xfId="48" applyFont="1" applyAlignment="1">
      <alignment vertical="center"/>
    </xf>
    <xf numFmtId="0" fontId="209" fillId="0" borderId="112" xfId="48" applyFont="1" applyBorder="1" applyAlignment="1">
      <alignment vertical="center"/>
    </xf>
    <xf numFmtId="0" fontId="16" fillId="15" borderId="15" xfId="32" applyFont="1" applyFill="1" applyBorder="1" applyAlignment="1">
      <alignment horizontal="right" vertical="center" indent="1"/>
    </xf>
    <xf numFmtId="0" fontId="115" fillId="0" borderId="0" xfId="1" applyFont="1"/>
    <xf numFmtId="0" fontId="115" fillId="0" borderId="0" xfId="1" applyFont="1" applyAlignment="1">
      <alignment horizontal="right"/>
    </xf>
    <xf numFmtId="178" fontId="115" fillId="0" borderId="0" xfId="1" applyNumberFormat="1" applyFont="1" applyAlignment="1">
      <alignment horizontal="center"/>
    </xf>
    <xf numFmtId="9" fontId="115" fillId="0" borderId="0" xfId="1" applyNumberFormat="1" applyFont="1"/>
    <xf numFmtId="0" fontId="26" fillId="32" borderId="39" xfId="0" applyFont="1" applyFill="1" applyBorder="1"/>
    <xf numFmtId="0" fontId="26" fillId="32" borderId="109" xfId="0" applyFont="1" applyFill="1" applyBorder="1"/>
    <xf numFmtId="0" fontId="0" fillId="32" borderId="109" xfId="0" applyFill="1" applyBorder="1"/>
    <xf numFmtId="0" fontId="115" fillId="32" borderId="109" xfId="0" applyFont="1" applyFill="1" applyBorder="1" applyAlignment="1">
      <alignment horizontal="center"/>
    </xf>
    <xf numFmtId="0" fontId="0" fillId="0" borderId="109" xfId="0" applyBorder="1"/>
    <xf numFmtId="0" fontId="0" fillId="0" borderId="40" xfId="0" applyBorder="1"/>
    <xf numFmtId="0" fontId="0" fillId="0" borderId="111" xfId="0" applyBorder="1"/>
    <xf numFmtId="0" fontId="26" fillId="32" borderId="110" xfId="0" applyFont="1" applyFill="1" applyBorder="1"/>
    <xf numFmtId="0" fontId="26" fillId="32" borderId="0" xfId="0" applyFont="1" applyFill="1"/>
    <xf numFmtId="0" fontId="115" fillId="32" borderId="0" xfId="0" applyFont="1" applyFill="1" applyAlignment="1">
      <alignment horizontal="center"/>
    </xf>
    <xf numFmtId="9" fontId="115" fillId="32" borderId="0" xfId="0" applyNumberFormat="1" applyFont="1" applyFill="1" applyAlignment="1">
      <alignment horizontal="center"/>
    </xf>
    <xf numFmtId="0" fontId="26" fillId="32" borderId="111" xfId="0" applyFont="1" applyFill="1" applyBorder="1"/>
    <xf numFmtId="0" fontId="0" fillId="0" borderId="112" xfId="0" applyBorder="1"/>
    <xf numFmtId="0" fontId="0" fillId="0" borderId="113" xfId="0" applyBorder="1"/>
    <xf numFmtId="0" fontId="0" fillId="0" borderId="114" xfId="0" applyBorder="1"/>
    <xf numFmtId="9" fontId="148" fillId="0" borderId="113" xfId="33" applyFont="1" applyFill="1" applyBorder="1" applyAlignment="1">
      <alignment horizontal="center"/>
    </xf>
    <xf numFmtId="0" fontId="148" fillId="0" borderId="113" xfId="0" applyFont="1" applyBorder="1"/>
    <xf numFmtId="0" fontId="179" fillId="0" borderId="113" xfId="0" applyFont="1" applyBorder="1"/>
    <xf numFmtId="177" fontId="94" fillId="0" borderId="0" xfId="0" applyNumberFormat="1" applyFont="1" applyAlignment="1">
      <alignment horizontal="center"/>
    </xf>
    <xf numFmtId="0" fontId="26" fillId="0" borderId="10" xfId="0" applyFont="1" applyBorder="1" applyAlignment="1">
      <alignment horizontal="center"/>
    </xf>
    <xf numFmtId="0" fontId="26" fillId="0" borderId="1" xfId="0" applyFont="1" applyBorder="1" applyAlignment="1">
      <alignment horizontal="center"/>
    </xf>
    <xf numFmtId="0" fontId="0" fillId="61" borderId="0" xfId="0" applyFill="1" applyAlignment="1">
      <alignment horizontal="center"/>
    </xf>
    <xf numFmtId="0" fontId="3" fillId="39" borderId="0" xfId="0" applyFont="1" applyFill="1" applyAlignment="1">
      <alignment horizontal="center"/>
    </xf>
    <xf numFmtId="0" fontId="174" fillId="0" borderId="0" xfId="0" applyFont="1" applyAlignment="1">
      <alignment horizontal="center"/>
    </xf>
    <xf numFmtId="0" fontId="0" fillId="0" borderId="109" xfId="0" applyBorder="1" applyAlignment="1">
      <alignment horizontal="center"/>
    </xf>
    <xf numFmtId="0" fontId="26" fillId="32" borderId="0" xfId="0" applyFont="1" applyFill="1" applyAlignment="1">
      <alignment horizontal="center"/>
    </xf>
    <xf numFmtId="0" fontId="179" fillId="0" borderId="113" xfId="0" applyFont="1" applyBorder="1" applyAlignment="1">
      <alignment horizontal="center"/>
    </xf>
    <xf numFmtId="220" fontId="0" fillId="0" borderId="0" xfId="0" applyNumberFormat="1"/>
    <xf numFmtId="0" fontId="217" fillId="0" borderId="0" xfId="0" applyFont="1" applyAlignment="1">
      <alignment horizontal="right" vertical="center" indent="1"/>
    </xf>
    <xf numFmtId="0" fontId="216" fillId="0" borderId="0" xfId="0" applyFont="1"/>
    <xf numFmtId="0" fontId="218" fillId="0" borderId="0" xfId="0" applyFont="1"/>
    <xf numFmtId="0" fontId="216" fillId="0" borderId="0" xfId="0" applyFont="1" applyAlignment="1">
      <alignment vertical="center"/>
    </xf>
    <xf numFmtId="0" fontId="219" fillId="0" borderId="0" xfId="0" applyFont="1"/>
    <xf numFmtId="0" fontId="220" fillId="0" borderId="0" xfId="0" applyFont="1"/>
    <xf numFmtId="221" fontId="177" fillId="58" borderId="0" xfId="0" applyNumberFormat="1" applyFont="1" applyFill="1"/>
    <xf numFmtId="0" fontId="177" fillId="58" borderId="0" xfId="0" quotePrefix="1" applyFont="1" applyFill="1"/>
    <xf numFmtId="0" fontId="177" fillId="58" borderId="0" xfId="0" applyFont="1" applyFill="1" applyAlignment="1">
      <alignment horizontal="center"/>
    </xf>
    <xf numFmtId="222" fontId="168" fillId="28" borderId="0" xfId="0" applyNumberFormat="1" applyFont="1" applyFill="1"/>
    <xf numFmtId="172" fontId="115" fillId="40" borderId="0" xfId="0" applyNumberFormat="1" applyFont="1" applyFill="1"/>
    <xf numFmtId="2" fontId="60" fillId="0" borderId="0" xfId="0" applyNumberFormat="1" applyFont="1"/>
    <xf numFmtId="172" fontId="112" fillId="62" borderId="86" xfId="38" applyNumberFormat="1" applyFont="1" applyFill="1" applyBorder="1"/>
    <xf numFmtId="0" fontId="102" fillId="63" borderId="0" xfId="36" applyFont="1" applyFill="1"/>
    <xf numFmtId="0" fontId="104" fillId="63" borderId="0" xfId="37" applyFont="1" applyFill="1"/>
    <xf numFmtId="0" fontId="222" fillId="0" borderId="0" xfId="36" applyFont="1"/>
    <xf numFmtId="1" fontId="223" fillId="0" borderId="0" xfId="36" applyNumberFormat="1" applyFont="1"/>
    <xf numFmtId="0" fontId="223" fillId="0" borderId="0" xfId="36" applyFont="1"/>
    <xf numFmtId="2" fontId="225" fillId="0" borderId="0" xfId="0" applyNumberFormat="1" applyFont="1" applyAlignment="1">
      <alignment horizontal="center"/>
    </xf>
    <xf numFmtId="174" fontId="0" fillId="0" borderId="0" xfId="0" applyNumberFormat="1"/>
    <xf numFmtId="1" fontId="99" fillId="0" borderId="0" xfId="0" applyNumberFormat="1" applyFont="1"/>
    <xf numFmtId="9" fontId="94" fillId="0" borderId="0" xfId="0" applyNumberFormat="1" applyFont="1"/>
    <xf numFmtId="0" fontId="0" fillId="27" borderId="135" xfId="0" applyFill="1" applyBorder="1"/>
    <xf numFmtId="0" fontId="0" fillId="27" borderId="71" xfId="0" applyFill="1" applyBorder="1"/>
    <xf numFmtId="0" fontId="0" fillId="27" borderId="36" xfId="0" applyFill="1" applyBorder="1"/>
    <xf numFmtId="172" fontId="115" fillId="27" borderId="71" xfId="0" applyNumberFormat="1" applyFont="1" applyFill="1" applyBorder="1"/>
    <xf numFmtId="1" fontId="115" fillId="27" borderId="72" xfId="0" applyNumberFormat="1" applyFont="1" applyFill="1" applyBorder="1"/>
    <xf numFmtId="0" fontId="0" fillId="27" borderId="37" xfId="0" applyFill="1" applyBorder="1"/>
    <xf numFmtId="0" fontId="26" fillId="27" borderId="134" xfId="0" applyFont="1" applyFill="1" applyBorder="1" applyAlignment="1">
      <alignment horizontal="left" indent="1"/>
    </xf>
    <xf numFmtId="9" fontId="215" fillId="0" borderId="0" xfId="0" applyNumberFormat="1" applyFont="1" applyAlignment="1">
      <alignment horizontal="center"/>
    </xf>
    <xf numFmtId="0" fontId="226" fillId="0" borderId="0" xfId="0" applyFont="1" applyAlignment="1">
      <alignment horizontal="center"/>
    </xf>
    <xf numFmtId="9" fontId="168" fillId="0" borderId="0" xfId="33" applyFont="1"/>
    <xf numFmtId="0" fontId="227" fillId="41" borderId="0" xfId="0" applyFont="1" applyFill="1"/>
    <xf numFmtId="223" fontId="0" fillId="0" borderId="0" xfId="0" applyNumberFormat="1"/>
    <xf numFmtId="0" fontId="86" fillId="27" borderId="93" xfId="32" applyFont="1" applyFill="1" applyBorder="1" applyAlignment="1">
      <alignment horizontal="center" vertical="center"/>
    </xf>
    <xf numFmtId="0" fontId="86" fillId="27" borderId="0" xfId="32" applyFont="1" applyFill="1" applyAlignment="1">
      <alignment horizontal="center" vertical="center"/>
    </xf>
    <xf numFmtId="201" fontId="86" fillId="27" borderId="0" xfId="32" applyNumberFormat="1" applyFont="1" applyFill="1" applyAlignment="1">
      <alignment horizontal="center" vertical="center"/>
    </xf>
    <xf numFmtId="3" fontId="78" fillId="51" borderId="146" xfId="32" applyNumberFormat="1" applyFont="1" applyFill="1" applyBorder="1" applyAlignment="1">
      <alignment horizontal="center" vertical="center"/>
    </xf>
    <xf numFmtId="9" fontId="71" fillId="0" borderId="36" xfId="33" applyFont="1" applyBorder="1" applyAlignment="1">
      <alignment horizontal="center" vertical="center"/>
    </xf>
    <xf numFmtId="3" fontId="78" fillId="28" borderId="146" xfId="32" applyNumberFormat="1" applyFont="1" applyFill="1" applyBorder="1" applyAlignment="1">
      <alignment horizontal="center" vertical="center"/>
    </xf>
    <xf numFmtId="3" fontId="44" fillId="16" borderId="146" xfId="32" applyNumberFormat="1" applyFont="1" applyFill="1" applyBorder="1" applyAlignment="1">
      <alignment horizontal="center" vertical="center"/>
    </xf>
    <xf numFmtId="0" fontId="45" fillId="28" borderId="36" xfId="32" applyFont="1" applyFill="1" applyBorder="1" applyAlignment="1">
      <alignment horizontal="center" vertical="center"/>
    </xf>
    <xf numFmtId="3" fontId="42" fillId="18" borderId="89" xfId="32" applyNumberFormat="1" applyFont="1" applyFill="1" applyBorder="1" applyAlignment="1">
      <alignment horizontal="center" vertical="center"/>
    </xf>
    <xf numFmtId="3" fontId="85" fillId="28" borderId="90" xfId="32" applyNumberFormat="1" applyFont="1" applyFill="1" applyBorder="1" applyAlignment="1">
      <alignment horizontal="center" vertical="center"/>
    </xf>
    <xf numFmtId="0" fontId="45" fillId="28" borderId="34" xfId="32" applyFont="1" applyFill="1" applyBorder="1" applyAlignment="1">
      <alignment horizontal="center" vertical="center"/>
    </xf>
    <xf numFmtId="9" fontId="135" fillId="0" borderId="58" xfId="33" applyFont="1" applyBorder="1" applyAlignment="1">
      <alignment horizontal="center" vertical="center"/>
    </xf>
    <xf numFmtId="9" fontId="135" fillId="0" borderId="6" xfId="33" applyFont="1" applyBorder="1" applyAlignment="1">
      <alignment horizontal="center" vertical="center"/>
    </xf>
    <xf numFmtId="9" fontId="135" fillId="0" borderId="67" xfId="33" applyFont="1" applyBorder="1" applyAlignment="1">
      <alignment horizontal="center" vertical="center"/>
    </xf>
    <xf numFmtId="172" fontId="124" fillId="32" borderId="0" xfId="0" applyNumberFormat="1" applyFont="1" applyFill="1"/>
    <xf numFmtId="9" fontId="94" fillId="32" borderId="0" xfId="0" applyNumberFormat="1" applyFont="1" applyFill="1"/>
    <xf numFmtId="0" fontId="94" fillId="32" borderId="0" xfId="0" applyFont="1" applyFill="1"/>
    <xf numFmtId="172" fontId="94" fillId="0" borderId="0" xfId="0" applyNumberFormat="1" applyFont="1"/>
    <xf numFmtId="172" fontId="228" fillId="0" borderId="0" xfId="0" applyNumberFormat="1" applyFont="1"/>
    <xf numFmtId="0" fontId="94" fillId="0" borderId="0" xfId="0" applyFont="1"/>
    <xf numFmtId="0" fontId="229" fillId="0" borderId="0" xfId="0" applyFont="1"/>
    <xf numFmtId="9" fontId="229" fillId="32" borderId="0" xfId="0" applyNumberFormat="1" applyFont="1" applyFill="1"/>
    <xf numFmtId="0" fontId="229" fillId="32" borderId="0" xfId="0" applyFont="1" applyFill="1"/>
    <xf numFmtId="0" fontId="94" fillId="41" borderId="0" xfId="0" applyFont="1" applyFill="1"/>
    <xf numFmtId="9" fontId="127" fillId="43" borderId="0" xfId="33" applyFont="1" applyFill="1" applyAlignment="1">
      <alignment horizontal="center"/>
    </xf>
    <xf numFmtId="0" fontId="127" fillId="43" borderId="0" xfId="0" applyFont="1" applyFill="1" applyAlignment="1">
      <alignment horizontal="center"/>
    </xf>
    <xf numFmtId="172" fontId="127" fillId="43" borderId="0" xfId="0" applyNumberFormat="1" applyFont="1" applyFill="1" applyAlignment="1">
      <alignment horizontal="center"/>
    </xf>
    <xf numFmtId="9" fontId="26" fillId="43" borderId="0" xfId="0" applyNumberFormat="1" applyFont="1" applyFill="1" applyAlignment="1">
      <alignment horizontal="center"/>
    </xf>
    <xf numFmtId="172" fontId="173" fillId="43" borderId="0" xfId="0" applyNumberFormat="1" applyFont="1" applyFill="1" applyAlignment="1">
      <alignment horizontal="center"/>
    </xf>
    <xf numFmtId="9" fontId="230" fillId="41" borderId="0" xfId="48" applyNumberFormat="1" applyFont="1" applyFill="1"/>
    <xf numFmtId="0" fontId="230" fillId="41" borderId="0" xfId="48" applyFont="1" applyFill="1"/>
    <xf numFmtId="9" fontId="71" fillId="43" borderId="72" xfId="33" applyFont="1" applyFill="1" applyBorder="1" applyAlignment="1">
      <alignment horizontal="center" vertical="center"/>
    </xf>
    <xf numFmtId="9" fontId="71" fillId="43" borderId="37" xfId="33" applyFont="1" applyFill="1" applyBorder="1" applyAlignment="1">
      <alignment horizontal="center" vertical="center"/>
    </xf>
    <xf numFmtId="3" fontId="40" fillId="40" borderId="134" xfId="32" applyNumberFormat="1" applyFill="1" applyBorder="1" applyAlignment="1">
      <alignment horizontal="center" vertical="center"/>
    </xf>
    <xf numFmtId="3" fontId="40" fillId="40" borderId="135" xfId="32" applyNumberFormat="1" applyFill="1" applyBorder="1" applyAlignment="1">
      <alignment horizontal="center" vertical="center"/>
    </xf>
    <xf numFmtId="3" fontId="40" fillId="40" borderId="129" xfId="32" applyNumberFormat="1" applyFill="1" applyBorder="1" applyAlignment="1">
      <alignment horizontal="center" vertical="center"/>
    </xf>
    <xf numFmtId="3" fontId="40" fillId="40" borderId="147" xfId="32" applyNumberFormat="1" applyFill="1" applyBorder="1" applyAlignment="1">
      <alignment horizontal="center" vertical="center"/>
    </xf>
    <xf numFmtId="9" fontId="40" fillId="64" borderId="72" xfId="33" applyFont="1" applyFill="1" applyBorder="1" applyAlignment="1">
      <alignment horizontal="center"/>
    </xf>
    <xf numFmtId="9" fontId="40" fillId="64" borderId="37" xfId="33" applyFont="1" applyFill="1" applyBorder="1" applyAlignment="1">
      <alignment horizontal="center"/>
    </xf>
    <xf numFmtId="9" fontId="40" fillId="64" borderId="72" xfId="32" applyNumberFormat="1" applyFill="1" applyBorder="1"/>
    <xf numFmtId="49" fontId="40" fillId="64" borderId="44" xfId="32" applyNumberFormat="1" applyFill="1" applyBorder="1" applyAlignment="1">
      <alignment horizontal="center"/>
    </xf>
    <xf numFmtId="9" fontId="40" fillId="64" borderId="37" xfId="32" applyNumberFormat="1" applyFill="1" applyBorder="1" applyAlignment="1">
      <alignment horizontal="left"/>
    </xf>
    <xf numFmtId="0" fontId="182" fillId="37" borderId="0" xfId="32" applyFont="1" applyFill="1" applyAlignment="1">
      <alignment vertical="center"/>
    </xf>
    <xf numFmtId="224" fontId="0" fillId="0" borderId="0" xfId="0" applyNumberFormat="1" applyAlignment="1">
      <alignment horizontal="center"/>
    </xf>
    <xf numFmtId="225" fontId="0" fillId="0" borderId="0" xfId="0" applyNumberFormat="1" applyAlignment="1">
      <alignment horizontal="center"/>
    </xf>
    <xf numFmtId="226" fontId="0" fillId="0" borderId="0" xfId="0" applyNumberFormat="1" applyAlignment="1">
      <alignment horizontal="center"/>
    </xf>
    <xf numFmtId="197" fontId="94" fillId="0" borderId="0" xfId="0" applyNumberFormat="1" applyFont="1" applyAlignment="1">
      <alignment horizontal="center"/>
    </xf>
    <xf numFmtId="9" fontId="94" fillId="40" borderId="0" xfId="0" applyNumberFormat="1" applyFont="1" applyFill="1"/>
    <xf numFmtId="174" fontId="231" fillId="0" borderId="0" xfId="0" applyNumberFormat="1" applyFont="1"/>
    <xf numFmtId="0" fontId="231" fillId="0" borderId="0" xfId="0" applyFont="1"/>
    <xf numFmtId="215" fontId="94" fillId="0" borderId="0" xfId="0" applyNumberFormat="1" applyFont="1" applyAlignment="1">
      <alignment horizontal="center"/>
    </xf>
    <xf numFmtId="168" fontId="14" fillId="0" borderId="8" xfId="0" applyNumberFormat="1" applyFont="1" applyBorder="1" applyAlignment="1">
      <alignment horizontal="center"/>
    </xf>
    <xf numFmtId="2" fontId="50" fillId="0" borderId="0" xfId="32" applyNumberFormat="1" applyFont="1" applyAlignment="1">
      <alignment horizontal="center"/>
    </xf>
    <xf numFmtId="2" fontId="50" fillId="0" borderId="4" xfId="32" applyNumberFormat="1" applyFont="1" applyBorder="1" applyAlignment="1">
      <alignment horizontal="center"/>
    </xf>
    <xf numFmtId="2" fontId="82" fillId="0" borderId="0" xfId="32" applyNumberFormat="1" applyFont="1" applyAlignment="1">
      <alignment horizontal="center"/>
    </xf>
    <xf numFmtId="0" fontId="124" fillId="32" borderId="0" xfId="0" applyFont="1" applyFill="1" applyAlignment="1">
      <alignment horizontal="left"/>
    </xf>
    <xf numFmtId="0" fontId="16" fillId="15" borderId="134" xfId="32" applyFont="1" applyFill="1" applyBorder="1" applyAlignment="1">
      <alignment vertical="center"/>
    </xf>
    <xf numFmtId="0" fontId="16" fillId="15" borderId="135" xfId="32" applyFont="1" applyFill="1" applyBorder="1" applyAlignment="1">
      <alignment horizontal="right" vertical="center"/>
    </xf>
    <xf numFmtId="0" fontId="40" fillId="15" borderId="140" xfId="32" applyFill="1" applyBorder="1" applyAlignment="1">
      <alignment horizontal="center" vertical="center"/>
    </xf>
    <xf numFmtId="3" fontId="233" fillId="0" borderId="134" xfId="32" applyNumberFormat="1" applyFont="1" applyBorder="1" applyAlignment="1">
      <alignment horizontal="center" vertical="center"/>
    </xf>
    <xf numFmtId="3" fontId="234" fillId="0" borderId="148" xfId="32" applyNumberFormat="1" applyFont="1" applyBorder="1" applyAlignment="1">
      <alignment horizontal="center" vertical="center"/>
    </xf>
    <xf numFmtId="3" fontId="234" fillId="0" borderId="149" xfId="32" applyNumberFormat="1" applyFont="1" applyBorder="1" applyAlignment="1">
      <alignment horizontal="center" vertical="center"/>
    </xf>
    <xf numFmtId="3" fontId="235" fillId="17" borderId="148" xfId="32" applyNumberFormat="1" applyFont="1" applyFill="1" applyBorder="1" applyAlignment="1">
      <alignment horizontal="center" vertical="center"/>
    </xf>
    <xf numFmtId="3" fontId="236" fillId="17" borderId="150" xfId="32" applyNumberFormat="1" applyFont="1" applyFill="1" applyBorder="1" applyAlignment="1">
      <alignment horizontal="center" vertical="center"/>
    </xf>
    <xf numFmtId="3" fontId="235" fillId="17" borderId="149" xfId="32" applyNumberFormat="1" applyFont="1" applyFill="1" applyBorder="1" applyAlignment="1">
      <alignment horizontal="center" vertical="center"/>
    </xf>
    <xf numFmtId="3" fontId="233" fillId="0" borderId="129" xfId="32" applyNumberFormat="1" applyFont="1" applyBorder="1" applyAlignment="1">
      <alignment horizontal="center" vertical="center"/>
    </xf>
    <xf numFmtId="3" fontId="234" fillId="0" borderId="89" xfId="32" applyNumberFormat="1" applyFont="1" applyBorder="1" applyAlignment="1">
      <alignment horizontal="center" vertical="center"/>
    </xf>
    <xf numFmtId="3" fontId="237" fillId="0" borderId="72" xfId="32" applyNumberFormat="1" applyFont="1" applyBorder="1" applyAlignment="1">
      <alignment horizontal="center" vertical="center"/>
    </xf>
    <xf numFmtId="3" fontId="237" fillId="0" borderId="44" xfId="32" applyNumberFormat="1" applyFont="1" applyBorder="1" applyAlignment="1">
      <alignment horizontal="center" vertical="center"/>
    </xf>
    <xf numFmtId="3" fontId="237" fillId="0" borderId="55" xfId="32" applyNumberFormat="1" applyFont="1" applyBorder="1" applyAlignment="1">
      <alignment horizontal="center" vertical="center"/>
    </xf>
    <xf numFmtId="3" fontId="237" fillId="0" borderId="60" xfId="32" applyNumberFormat="1" applyFont="1" applyBorder="1" applyAlignment="1">
      <alignment horizontal="center" vertical="center"/>
    </xf>
    <xf numFmtId="3" fontId="237" fillId="0" borderId="34" xfId="32" applyNumberFormat="1" applyFont="1" applyBorder="1" applyAlignment="1">
      <alignment horizontal="center" vertical="center"/>
    </xf>
    <xf numFmtId="3" fontId="237" fillId="17" borderId="55" xfId="32" applyNumberFormat="1" applyFont="1" applyFill="1" applyBorder="1" applyAlignment="1">
      <alignment horizontal="center" vertical="center"/>
    </xf>
    <xf numFmtId="3" fontId="237" fillId="17" borderId="57" xfId="32" applyNumberFormat="1" applyFont="1" applyFill="1" applyBorder="1" applyAlignment="1">
      <alignment horizontal="center" vertical="center"/>
    </xf>
    <xf numFmtId="3" fontId="237" fillId="17" borderId="60" xfId="32" applyNumberFormat="1" applyFont="1" applyFill="1" applyBorder="1" applyAlignment="1">
      <alignment horizontal="center" vertical="center"/>
    </xf>
    <xf numFmtId="0" fontId="21" fillId="0" borderId="0" xfId="32" applyFont="1" applyAlignment="1">
      <alignment horizontal="center" vertical="center"/>
    </xf>
    <xf numFmtId="0" fontId="40" fillId="0" borderId="151" xfId="32" applyBorder="1" applyAlignment="1">
      <alignment horizontal="center" vertical="center"/>
    </xf>
    <xf numFmtId="0" fontId="40" fillId="0" borderId="59" xfId="32" applyBorder="1" applyAlignment="1">
      <alignment horizontal="center" vertical="center"/>
    </xf>
    <xf numFmtId="0" fontId="16" fillId="0" borderId="9" xfId="32" applyFont="1" applyBorder="1" applyAlignment="1">
      <alignment horizontal="left" vertical="center"/>
    </xf>
    <xf numFmtId="0" fontId="40" fillId="0" borderId="7" xfId="32" applyBorder="1"/>
    <xf numFmtId="0" fontId="72" fillId="0" borderId="152" xfId="32" applyFont="1" applyBorder="1" applyAlignment="1">
      <alignment horizontal="center" vertical="center"/>
    </xf>
    <xf numFmtId="0" fontId="16" fillId="0" borderId="11" xfId="32" applyFont="1" applyBorder="1" applyAlignment="1">
      <alignment horizontal="left" vertical="center"/>
    </xf>
    <xf numFmtId="0" fontId="40" fillId="0" borderId="12" xfId="32" applyBorder="1"/>
    <xf numFmtId="0" fontId="16" fillId="0" borderId="153" xfId="32" applyFont="1" applyBorder="1" applyAlignment="1">
      <alignment horizontal="center" vertical="center"/>
    </xf>
    <xf numFmtId="3" fontId="16" fillId="20" borderId="74" xfId="32" applyNumberFormat="1" applyFont="1" applyFill="1" applyBorder="1" applyAlignment="1">
      <alignment horizontal="center" vertical="center"/>
    </xf>
    <xf numFmtId="3" fontId="16" fillId="20" borderId="64" xfId="32" applyNumberFormat="1" applyFont="1" applyFill="1" applyBorder="1" applyAlignment="1">
      <alignment horizontal="center" vertical="center"/>
    </xf>
    <xf numFmtId="3" fontId="16" fillId="20" borderId="65" xfId="32" applyNumberFormat="1" applyFont="1" applyFill="1" applyBorder="1" applyAlignment="1">
      <alignment horizontal="center" vertical="center"/>
    </xf>
    <xf numFmtId="3" fontId="16" fillId="20" borderId="2" xfId="32" applyNumberFormat="1" applyFont="1" applyFill="1" applyBorder="1" applyAlignment="1">
      <alignment horizontal="center" vertical="center"/>
    </xf>
    <xf numFmtId="3" fontId="16" fillId="20" borderId="12" xfId="32" applyNumberFormat="1" applyFont="1" applyFill="1" applyBorder="1" applyAlignment="1">
      <alignment horizontal="center" vertical="center"/>
    </xf>
    <xf numFmtId="0" fontId="40" fillId="0" borderId="10" xfId="32" applyBorder="1" applyAlignment="1">
      <alignment horizontal="center" vertical="center"/>
    </xf>
    <xf numFmtId="0" fontId="16" fillId="0" borderId="7" xfId="32" applyFont="1" applyBorder="1" applyAlignment="1">
      <alignment horizontal="right" vertical="center"/>
    </xf>
    <xf numFmtId="1" fontId="0" fillId="41" borderId="0" xfId="0" applyNumberFormat="1" applyFill="1"/>
    <xf numFmtId="172" fontId="0" fillId="41" borderId="0" xfId="0" applyNumberFormat="1" applyFill="1"/>
    <xf numFmtId="172" fontId="0" fillId="41" borderId="0" xfId="0" applyNumberFormat="1" applyFill="1" applyAlignment="1">
      <alignment horizontal="left" indent="1"/>
    </xf>
    <xf numFmtId="177" fontId="26" fillId="0" borderId="0" xfId="0" applyNumberFormat="1" applyFont="1" applyAlignment="1">
      <alignment horizontal="center"/>
    </xf>
    <xf numFmtId="219" fontId="168" fillId="0" borderId="1" xfId="0" applyNumberFormat="1" applyFont="1" applyBorder="1"/>
    <xf numFmtId="219" fontId="168" fillId="0" borderId="1" xfId="0" applyNumberFormat="1" applyFont="1" applyBorder="1" applyAlignment="1">
      <alignment horizontal="center"/>
    </xf>
    <xf numFmtId="0" fontId="12" fillId="0" borderId="2" xfId="0" applyFont="1" applyBorder="1" applyAlignment="1">
      <alignment horizontal="center"/>
    </xf>
    <xf numFmtId="1" fontId="7" fillId="0" borderId="3" xfId="0" applyNumberFormat="1" applyFont="1" applyBorder="1" applyAlignment="1">
      <alignment horizontal="center"/>
    </xf>
    <xf numFmtId="0" fontId="12" fillId="0" borderId="3" xfId="0" applyFont="1" applyBorder="1" applyAlignment="1">
      <alignment horizontal="center"/>
    </xf>
    <xf numFmtId="0" fontId="13" fillId="0" borderId="0" xfId="0" applyFont="1" applyAlignment="1">
      <alignment horizontal="right" indent="1"/>
    </xf>
    <xf numFmtId="0" fontId="13" fillId="0" borderId="0" xfId="0" applyFont="1" applyAlignment="1">
      <alignment horizontal="right"/>
    </xf>
    <xf numFmtId="2" fontId="179" fillId="0" borderId="0" xfId="0" applyNumberFormat="1" applyFont="1" applyAlignment="1">
      <alignment horizontal="center"/>
    </xf>
    <xf numFmtId="2" fontId="238" fillId="0" borderId="0" xfId="0" applyNumberFormat="1" applyFont="1" applyAlignment="1">
      <alignment horizontal="center"/>
    </xf>
    <xf numFmtId="174" fontId="58" fillId="0" borderId="0" xfId="0" applyNumberFormat="1" applyFont="1" applyAlignment="1">
      <alignment horizontal="center"/>
    </xf>
    <xf numFmtId="0" fontId="239" fillId="0" borderId="0" xfId="0" applyFont="1"/>
    <xf numFmtId="0" fontId="21" fillId="0" borderId="0" xfId="0" applyFont="1" applyAlignment="1">
      <alignment horizontal="center"/>
    </xf>
    <xf numFmtId="169" fontId="21" fillId="0" borderId="0" xfId="0" applyNumberFormat="1" applyFont="1" applyAlignment="1">
      <alignment horizontal="center" vertical="center"/>
    </xf>
    <xf numFmtId="1" fontId="21" fillId="0" borderId="0" xfId="0" applyNumberFormat="1" applyFont="1" applyAlignment="1">
      <alignment horizontal="center" vertical="center"/>
    </xf>
    <xf numFmtId="167" fontId="21" fillId="4" borderId="0" xfId="0" applyNumberFormat="1" applyFont="1" applyFill="1" applyAlignment="1">
      <alignment horizontal="center" vertical="center"/>
    </xf>
    <xf numFmtId="199" fontId="91" fillId="0" borderId="0" xfId="0" applyNumberFormat="1" applyFont="1" applyAlignment="1">
      <alignment vertical="center"/>
    </xf>
    <xf numFmtId="227" fontId="94" fillId="0" borderId="0" xfId="0" applyNumberFormat="1" applyFont="1"/>
    <xf numFmtId="0" fontId="40" fillId="15" borderId="139" xfId="32" applyFill="1" applyBorder="1" applyAlignment="1">
      <alignment horizontal="center" vertical="center"/>
    </xf>
    <xf numFmtId="168" fontId="45" fillId="0" borderId="58" xfId="32" applyNumberFormat="1" applyFont="1" applyBorder="1" applyAlignment="1">
      <alignment horizontal="center" vertical="center"/>
    </xf>
    <xf numFmtId="168" fontId="45" fillId="0" borderId="3" xfId="32" applyNumberFormat="1" applyFont="1" applyBorder="1" applyAlignment="1">
      <alignment horizontal="center" vertical="center"/>
    </xf>
    <xf numFmtId="168" fontId="45" fillId="0" borderId="59" xfId="32" applyNumberFormat="1" applyFont="1" applyBorder="1" applyAlignment="1">
      <alignment horizontal="center" vertical="center"/>
    </xf>
    <xf numFmtId="168" fontId="45" fillId="0" borderId="0" xfId="32" applyNumberFormat="1" applyFont="1" applyAlignment="1">
      <alignment horizontal="center" vertical="center"/>
    </xf>
    <xf numFmtId="0" fontId="16" fillId="15" borderId="139" xfId="32" applyFont="1" applyFill="1" applyBorder="1" applyAlignment="1">
      <alignment horizontal="center" vertical="center"/>
    </xf>
    <xf numFmtId="0" fontId="16" fillId="15" borderId="141" xfId="32" applyFont="1" applyFill="1" applyBorder="1" applyAlignment="1">
      <alignment horizontal="center" vertical="center"/>
    </xf>
    <xf numFmtId="0" fontId="241" fillId="0" borderId="0" xfId="0" applyFont="1"/>
    <xf numFmtId="0" fontId="26" fillId="37" borderId="0" xfId="0" applyFont="1" applyFill="1"/>
    <xf numFmtId="0" fontId="94" fillId="0" borderId="0" xfId="0" quotePrefix="1" applyFont="1"/>
    <xf numFmtId="0" fontId="121" fillId="0" borderId="0" xfId="0" applyFont="1" applyAlignment="1">
      <alignment horizontal="right"/>
    </xf>
    <xf numFmtId="0" fontId="118" fillId="0" borderId="0" xfId="0" applyFont="1" applyAlignment="1">
      <alignment horizontal="right"/>
    </xf>
    <xf numFmtId="0" fontId="118" fillId="0" borderId="0" xfId="0" applyFont="1" applyAlignment="1">
      <alignment horizontal="center"/>
    </xf>
    <xf numFmtId="0" fontId="126" fillId="0" borderId="0" xfId="0" applyFont="1" applyAlignment="1">
      <alignment horizontal="right"/>
    </xf>
    <xf numFmtId="0" fontId="242" fillId="0" borderId="0" xfId="0" applyFont="1" applyAlignment="1">
      <alignment horizontal="right"/>
    </xf>
    <xf numFmtId="223" fontId="115" fillId="0" borderId="0" xfId="0" applyNumberFormat="1" applyFont="1"/>
    <xf numFmtId="0" fontId="163" fillId="0" borderId="0" xfId="0" applyFont="1" applyAlignment="1">
      <alignment horizontal="right"/>
    </xf>
    <xf numFmtId="0" fontId="163" fillId="0" borderId="0" xfId="0" applyFont="1"/>
    <xf numFmtId="0" fontId="138" fillId="0" borderId="0" xfId="0" applyFont="1" applyAlignment="1">
      <alignment horizontal="center"/>
    </xf>
    <xf numFmtId="0" fontId="138" fillId="0" borderId="0" xfId="0" applyFont="1" applyAlignment="1">
      <alignment horizontal="left"/>
    </xf>
    <xf numFmtId="0" fontId="118" fillId="0" borderId="0" xfId="0" applyFont="1" applyAlignment="1">
      <alignment horizontal="left"/>
    </xf>
    <xf numFmtId="0" fontId="138" fillId="0" borderId="0" xfId="0" applyFont="1" applyAlignment="1">
      <alignment horizontal="left" vertical="center"/>
    </xf>
    <xf numFmtId="0" fontId="138" fillId="37" borderId="0" xfId="0" applyFont="1" applyFill="1" applyAlignment="1">
      <alignment horizontal="left"/>
    </xf>
    <xf numFmtId="0" fontId="243" fillId="0" borderId="0" xfId="0" applyFont="1" applyAlignment="1">
      <alignment horizontal="left"/>
    </xf>
    <xf numFmtId="0" fontId="120" fillId="0" borderId="0" xfId="0" applyFont="1" applyAlignment="1">
      <alignment horizontal="left" indent="1"/>
    </xf>
    <xf numFmtId="0" fontId="0" fillId="0" borderId="71" xfId="0" applyBorder="1" applyAlignment="1">
      <alignment horizontal="center"/>
    </xf>
    <xf numFmtId="0" fontId="138" fillId="0" borderId="36" xfId="0" applyFont="1" applyBorder="1" applyAlignment="1">
      <alignment horizontal="left"/>
    </xf>
    <xf numFmtId="172" fontId="26" fillId="0" borderId="71" xfId="0" applyNumberFormat="1" applyFont="1" applyBorder="1" applyAlignment="1">
      <alignment horizontal="center"/>
    </xf>
    <xf numFmtId="172" fontId="138" fillId="0" borderId="36" xfId="0" applyNumberFormat="1" applyFont="1" applyBorder="1" applyAlignment="1">
      <alignment horizontal="left"/>
    </xf>
    <xf numFmtId="1" fontId="0" fillId="0" borderId="71" xfId="0" applyNumberFormat="1" applyBorder="1" applyAlignment="1">
      <alignment horizontal="center"/>
    </xf>
    <xf numFmtId="1" fontId="138" fillId="0" borderId="36" xfId="0" applyNumberFormat="1" applyFont="1" applyBorder="1" applyAlignment="1">
      <alignment horizontal="left"/>
    </xf>
    <xf numFmtId="9" fontId="138" fillId="0" borderId="36" xfId="33" applyFont="1" applyBorder="1" applyAlignment="1">
      <alignment horizontal="left"/>
    </xf>
    <xf numFmtId="9" fontId="0" fillId="0" borderId="71" xfId="33" applyFont="1" applyBorder="1" applyAlignment="1">
      <alignment horizontal="center"/>
    </xf>
    <xf numFmtId="172" fontId="0" fillId="0" borderId="71" xfId="0" applyNumberFormat="1" applyBorder="1" applyAlignment="1">
      <alignment horizontal="center"/>
    </xf>
    <xf numFmtId="9" fontId="0" fillId="0" borderId="71" xfId="0" applyNumberFormat="1" applyBorder="1" applyAlignment="1">
      <alignment horizontal="center"/>
    </xf>
    <xf numFmtId="9" fontId="138" fillId="0" borderId="36" xfId="0" applyNumberFormat="1" applyFont="1" applyBorder="1" applyAlignment="1">
      <alignment horizontal="left"/>
    </xf>
    <xf numFmtId="222" fontId="26" fillId="0" borderId="71" xfId="0" applyNumberFormat="1" applyFont="1" applyBorder="1" applyAlignment="1">
      <alignment horizontal="center"/>
    </xf>
    <xf numFmtId="9" fontId="26" fillId="0" borderId="71" xfId="0" applyNumberFormat="1" applyFont="1" applyBorder="1" applyAlignment="1">
      <alignment horizontal="center"/>
    </xf>
    <xf numFmtId="9" fontId="242" fillId="0" borderId="71" xfId="0" applyNumberFormat="1" applyFont="1" applyBorder="1" applyAlignment="1">
      <alignment horizontal="center"/>
    </xf>
    <xf numFmtId="9" fontId="242" fillId="0" borderId="36" xfId="0" applyNumberFormat="1" applyFont="1" applyBorder="1" applyAlignment="1">
      <alignment horizontal="left"/>
    </xf>
    <xf numFmtId="168" fontId="242" fillId="0" borderId="71" xfId="0" applyNumberFormat="1" applyFont="1" applyBorder="1" applyAlignment="1">
      <alignment horizontal="center"/>
    </xf>
    <xf numFmtId="168" fontId="242" fillId="0" borderId="36" xfId="0" applyNumberFormat="1" applyFont="1" applyBorder="1" applyAlignment="1">
      <alignment horizontal="left"/>
    </xf>
    <xf numFmtId="9" fontId="121" fillId="0" borderId="71" xfId="33" applyFont="1" applyBorder="1" applyAlignment="1">
      <alignment horizontal="center"/>
    </xf>
    <xf numFmtId="9" fontId="118" fillId="0" borderId="36" xfId="33" applyFont="1" applyBorder="1" applyAlignment="1">
      <alignment horizontal="left"/>
    </xf>
    <xf numFmtId="168" fontId="121" fillId="0" borderId="71" xfId="33" applyNumberFormat="1" applyFont="1" applyBorder="1" applyAlignment="1">
      <alignment horizontal="center"/>
    </xf>
    <xf numFmtId="2" fontId="0" fillId="0" borderId="71" xfId="0" applyNumberFormat="1" applyBorder="1" applyAlignment="1">
      <alignment horizontal="center"/>
    </xf>
    <xf numFmtId="222" fontId="0" fillId="0" borderId="71" xfId="0" applyNumberFormat="1" applyBorder="1" applyAlignment="1">
      <alignment horizontal="center"/>
    </xf>
    <xf numFmtId="0" fontId="0" fillId="0" borderId="72" xfId="0" applyBorder="1" applyAlignment="1">
      <alignment horizontal="center"/>
    </xf>
    <xf numFmtId="0" fontId="138" fillId="0" borderId="37" xfId="0" applyFont="1" applyBorder="1" applyAlignment="1">
      <alignment horizontal="left"/>
    </xf>
    <xf numFmtId="0" fontId="0" fillId="0" borderId="36" xfId="0" applyBorder="1" applyAlignment="1">
      <alignment horizontal="left"/>
    </xf>
    <xf numFmtId="0" fontId="26" fillId="0" borderId="36" xfId="0" applyFont="1" applyBorder="1" applyAlignment="1">
      <alignment horizontal="left"/>
    </xf>
    <xf numFmtId="0" fontId="118" fillId="0" borderId="36" xfId="0" applyFont="1" applyBorder="1" applyAlignment="1">
      <alignment horizontal="left"/>
    </xf>
    <xf numFmtId="9" fontId="121" fillId="0" borderId="36" xfId="0" applyNumberFormat="1" applyFont="1" applyBorder="1" applyAlignment="1">
      <alignment horizontal="left"/>
    </xf>
    <xf numFmtId="0" fontId="62" fillId="37" borderId="0" xfId="0" applyFont="1" applyFill="1" applyAlignment="1">
      <alignment vertical="center"/>
    </xf>
    <xf numFmtId="0" fontId="126" fillId="41" borderId="0" xfId="0" applyFont="1" applyFill="1" applyAlignment="1">
      <alignment horizontal="right"/>
    </xf>
    <xf numFmtId="0" fontId="26" fillId="41" borderId="0" xfId="0" applyFont="1" applyFill="1" applyAlignment="1">
      <alignment horizontal="left" indent="1"/>
    </xf>
    <xf numFmtId="0" fontId="0" fillId="41" borderId="0" xfId="0" applyFill="1" applyAlignment="1">
      <alignment horizontal="right"/>
    </xf>
    <xf numFmtId="172" fontId="0" fillId="41" borderId="71" xfId="0" applyNumberFormat="1" applyFill="1" applyBorder="1" applyAlignment="1">
      <alignment horizontal="center"/>
    </xf>
    <xf numFmtId="172" fontId="138" fillId="41" borderId="36" xfId="0" applyNumberFormat="1" applyFont="1" applyFill="1" applyBorder="1" applyAlignment="1">
      <alignment horizontal="left"/>
    </xf>
    <xf numFmtId="0" fontId="26" fillId="0" borderId="110" xfId="0" applyFont="1" applyBorder="1"/>
    <xf numFmtId="0" fontId="13" fillId="0" borderId="110" xfId="0" applyFont="1" applyBorder="1"/>
    <xf numFmtId="0" fontId="62" fillId="0" borderId="110" xfId="0" applyFont="1" applyBorder="1"/>
    <xf numFmtId="0" fontId="26" fillId="28" borderId="112" xfId="0" applyFont="1" applyFill="1" applyBorder="1" applyAlignment="1">
      <alignment horizontal="left" vertical="center"/>
    </xf>
    <xf numFmtId="0" fontId="26" fillId="28" borderId="113" xfId="0" applyFont="1" applyFill="1" applyBorder="1" applyAlignment="1">
      <alignment vertical="center"/>
    </xf>
    <xf numFmtId="0" fontId="0" fillId="28" borderId="113" xfId="0" applyFill="1" applyBorder="1" applyAlignment="1">
      <alignment vertical="center"/>
    </xf>
    <xf numFmtId="0" fontId="26" fillId="41" borderId="39" xfId="0" applyFont="1" applyFill="1" applyBorder="1" applyAlignment="1">
      <alignment horizontal="left" vertical="center"/>
    </xf>
    <xf numFmtId="0" fontId="0" fillId="41" borderId="109" xfId="0" applyFill="1" applyBorder="1" applyAlignment="1">
      <alignment vertical="center"/>
    </xf>
    <xf numFmtId="0" fontId="0" fillId="41" borderId="156" xfId="0" applyFill="1" applyBorder="1" applyAlignment="1">
      <alignment horizontal="center" vertical="center"/>
    </xf>
    <xf numFmtId="0" fontId="138" fillId="41" borderId="157" xfId="0" applyFont="1" applyFill="1" applyBorder="1" applyAlignment="1">
      <alignment horizontal="left" vertical="center"/>
    </xf>
    <xf numFmtId="0" fontId="138" fillId="0" borderId="0" xfId="0" applyFont="1"/>
    <xf numFmtId="1" fontId="58" fillId="0" borderId="0" xfId="0" applyNumberFormat="1" applyFont="1"/>
    <xf numFmtId="9" fontId="115" fillId="0" borderId="0" xfId="0" applyNumberFormat="1" applyFont="1"/>
    <xf numFmtId="0" fontId="241" fillId="0" borderId="0" xfId="0" applyFont="1" applyAlignment="1">
      <alignment horizontal="center"/>
    </xf>
    <xf numFmtId="0" fontId="241" fillId="0" borderId="0" xfId="0" applyFont="1" applyAlignment="1">
      <alignment horizontal="right"/>
    </xf>
    <xf numFmtId="0" fontId="245" fillId="0" borderId="0" xfId="0" applyFont="1" applyAlignment="1">
      <alignment horizontal="left"/>
    </xf>
    <xf numFmtId="9" fontId="13" fillId="0" borderId="0" xfId="0" applyNumberFormat="1" applyFont="1"/>
    <xf numFmtId="168" fontId="138" fillId="0" borderId="36" xfId="33" applyNumberFormat="1" applyFont="1" applyFill="1" applyBorder="1" applyAlignment="1">
      <alignment horizontal="left"/>
    </xf>
    <xf numFmtId="1" fontId="118" fillId="0" borderId="36" xfId="0" applyNumberFormat="1" applyFont="1" applyBorder="1" applyAlignment="1">
      <alignment horizontal="left"/>
    </xf>
    <xf numFmtId="9" fontId="118" fillId="0" borderId="71" xfId="33" applyFont="1" applyBorder="1" applyAlignment="1">
      <alignment horizontal="center"/>
    </xf>
    <xf numFmtId="172" fontId="163" fillId="0" borderId="0" xfId="0" applyNumberFormat="1" applyFont="1"/>
    <xf numFmtId="0" fontId="68" fillId="37" borderId="0" xfId="0" applyFont="1" applyFill="1" applyAlignment="1">
      <alignment horizontal="left"/>
    </xf>
    <xf numFmtId="0" fontId="242" fillId="0" borderId="71" xfId="0" applyFont="1" applyBorder="1" applyAlignment="1">
      <alignment horizontal="center"/>
    </xf>
    <xf numFmtId="0" fontId="242" fillId="0" borderId="36" xfId="0" applyFont="1" applyBorder="1" applyAlignment="1">
      <alignment horizontal="left"/>
    </xf>
    <xf numFmtId="9" fontId="94" fillId="0" borderId="71" xfId="0" applyNumberFormat="1" applyFont="1" applyBorder="1" applyAlignment="1">
      <alignment horizontal="center"/>
    </xf>
    <xf numFmtId="9" fontId="143" fillId="0" borderId="36" xfId="0" applyNumberFormat="1" applyFont="1" applyBorder="1" applyAlignment="1">
      <alignment horizontal="left"/>
    </xf>
    <xf numFmtId="0" fontId="248" fillId="0" borderId="36" xfId="0" applyFont="1" applyBorder="1" applyAlignment="1">
      <alignment horizontal="left"/>
    </xf>
    <xf numFmtId="0" fontId="229" fillId="0" borderId="71" xfId="0" applyFont="1" applyBorder="1" applyAlignment="1">
      <alignment horizontal="center"/>
    </xf>
    <xf numFmtId="0" fontId="13" fillId="0" borderId="71" xfId="0" applyFont="1" applyBorder="1" applyAlignment="1">
      <alignment horizontal="center"/>
    </xf>
    <xf numFmtId="172" fontId="58" fillId="32" borderId="0" xfId="0" applyNumberFormat="1" applyFont="1" applyFill="1"/>
    <xf numFmtId="2" fontId="241" fillId="0" borderId="0" xfId="0" applyNumberFormat="1" applyFont="1"/>
    <xf numFmtId="1" fontId="138" fillId="0" borderId="36" xfId="0" quotePrefix="1" applyNumberFormat="1" applyFont="1" applyBorder="1" applyAlignment="1">
      <alignment horizontal="left"/>
    </xf>
    <xf numFmtId="0" fontId="0" fillId="0" borderId="36" xfId="0" applyBorder="1" applyAlignment="1">
      <alignment vertical="center"/>
    </xf>
    <xf numFmtId="0" fontId="0" fillId="41" borderId="157" xfId="0" applyFill="1" applyBorder="1" applyAlignment="1">
      <alignment vertical="center"/>
    </xf>
    <xf numFmtId="0" fontId="0" fillId="28" borderId="143" xfId="0" applyFill="1" applyBorder="1" applyAlignment="1">
      <alignment vertical="center"/>
    </xf>
    <xf numFmtId="0" fontId="138" fillId="0" borderId="36" xfId="0" applyFont="1" applyBorder="1" applyAlignment="1">
      <alignment vertical="center"/>
    </xf>
    <xf numFmtId="0" fontId="138" fillId="0" borderId="110" xfId="0" applyFont="1" applyBorder="1"/>
    <xf numFmtId="0" fontId="138" fillId="0" borderId="0" xfId="0" applyFont="1" applyAlignment="1">
      <alignment horizontal="left" indent="1"/>
    </xf>
    <xf numFmtId="9" fontId="138" fillId="0" borderId="71" xfId="33" applyFont="1" applyFill="1" applyBorder="1" applyAlignment="1">
      <alignment horizontal="center"/>
    </xf>
    <xf numFmtId="9" fontId="251" fillId="0" borderId="71" xfId="33" applyFont="1" applyFill="1" applyBorder="1" applyAlignment="1">
      <alignment horizontal="center"/>
    </xf>
    <xf numFmtId="0" fontId="13" fillId="0" borderId="0" xfId="0" applyFont="1" applyAlignment="1">
      <alignment vertical="center"/>
    </xf>
    <xf numFmtId="1" fontId="13" fillId="0" borderId="0" xfId="0" applyNumberFormat="1" applyFont="1"/>
    <xf numFmtId="0" fontId="239" fillId="32" borderId="0" xfId="0" applyFont="1" applyFill="1"/>
    <xf numFmtId="1" fontId="13" fillId="0" borderId="0" xfId="0" quotePrefix="1" applyNumberFormat="1" applyFont="1"/>
    <xf numFmtId="1" fontId="13" fillId="0" borderId="0" xfId="0" applyNumberFormat="1" applyFont="1" applyAlignment="1">
      <alignment vertical="center"/>
    </xf>
    <xf numFmtId="9" fontId="249" fillId="0" borderId="0" xfId="0" applyNumberFormat="1" applyFont="1" applyAlignment="1">
      <alignment horizontal="center"/>
    </xf>
    <xf numFmtId="230" fontId="26" fillId="0" borderId="71" xfId="34" applyNumberFormat="1" applyFont="1" applyBorder="1" applyAlignment="1"/>
    <xf numFmtId="230" fontId="26" fillId="0" borderId="36" xfId="34" applyNumberFormat="1" applyFont="1" applyBorder="1" applyAlignment="1"/>
    <xf numFmtId="230" fontId="13" fillId="0" borderId="71" xfId="34" applyNumberFormat="1" applyFont="1" applyBorder="1" applyAlignment="1">
      <alignment horizontal="right" indent="2"/>
    </xf>
    <xf numFmtId="230" fontId="13" fillId="0" borderId="71" xfId="34" applyNumberFormat="1" applyFont="1" applyBorder="1" applyAlignment="1"/>
    <xf numFmtId="230" fontId="26" fillId="28" borderId="142" xfId="34" applyNumberFormat="1" applyFont="1" applyFill="1" applyBorder="1" applyAlignment="1">
      <alignment vertical="center"/>
    </xf>
    <xf numFmtId="230" fontId="26" fillId="28" borderId="143" xfId="34" applyNumberFormat="1" applyFont="1" applyFill="1" applyBorder="1" applyAlignment="1">
      <alignment vertical="center"/>
    </xf>
    <xf numFmtId="229" fontId="26" fillId="28" borderId="143" xfId="0" applyNumberFormat="1" applyFont="1" applyFill="1" applyBorder="1" applyAlignment="1">
      <alignment vertical="center"/>
    </xf>
    <xf numFmtId="0" fontId="178" fillId="0" borderId="0" xfId="0" applyFont="1" applyAlignment="1">
      <alignment horizontal="center"/>
    </xf>
    <xf numFmtId="231" fontId="26" fillId="0" borderId="71" xfId="34" applyNumberFormat="1" applyFont="1" applyBorder="1" applyAlignment="1"/>
    <xf numFmtId="0" fontId="120" fillId="0" borderId="0" xfId="0" applyFont="1" applyAlignment="1">
      <alignment horizontal="left"/>
    </xf>
    <xf numFmtId="232" fontId="26" fillId="41" borderId="160" xfId="0" applyNumberFormat="1" applyFont="1" applyFill="1" applyBorder="1"/>
    <xf numFmtId="9" fontId="26" fillId="41" borderId="161" xfId="33" applyFont="1" applyFill="1" applyBorder="1" applyAlignment="1">
      <alignment horizontal="center"/>
    </xf>
    <xf numFmtId="0" fontId="212" fillId="0" borderId="0" xfId="0" applyFont="1"/>
    <xf numFmtId="1" fontId="45" fillId="28" borderId="67" xfId="32" applyNumberFormat="1" applyFont="1" applyFill="1" applyBorder="1" applyAlignment="1">
      <alignment horizontal="center" vertical="center"/>
    </xf>
    <xf numFmtId="1" fontId="45" fillId="28" borderId="6" xfId="32" applyNumberFormat="1" applyFont="1" applyFill="1" applyBorder="1" applyAlignment="1">
      <alignment horizontal="center" vertical="center"/>
    </xf>
    <xf numFmtId="1" fontId="45" fillId="28" borderId="66" xfId="32" applyNumberFormat="1" applyFont="1" applyFill="1" applyBorder="1" applyAlignment="1">
      <alignment horizontal="center" vertical="center"/>
    </xf>
    <xf numFmtId="1" fontId="253" fillId="0" borderId="162" xfId="0" applyNumberFormat="1" applyFont="1" applyBorder="1" applyAlignment="1">
      <alignment horizontal="center"/>
    </xf>
    <xf numFmtId="168" fontId="254" fillId="0" borderId="163" xfId="0" applyNumberFormat="1" applyFont="1" applyBorder="1" applyAlignment="1">
      <alignment horizontal="center"/>
    </xf>
    <xf numFmtId="168" fontId="256" fillId="0" borderId="163" xfId="0" applyNumberFormat="1" applyFont="1" applyBorder="1" applyAlignment="1">
      <alignment horizontal="center"/>
    </xf>
    <xf numFmtId="172" fontId="253" fillId="0" borderId="162" xfId="0" applyNumberFormat="1" applyFont="1" applyBorder="1" applyAlignment="1">
      <alignment horizontal="center"/>
    </xf>
    <xf numFmtId="172" fontId="115" fillId="0" borderId="162" xfId="0" applyNumberFormat="1" applyFont="1" applyBorder="1" applyAlignment="1">
      <alignment horizontal="center"/>
    </xf>
    <xf numFmtId="172" fontId="253" fillId="32" borderId="162" xfId="0" applyNumberFormat="1" applyFont="1" applyFill="1" applyBorder="1" applyAlignment="1">
      <alignment horizontal="center"/>
    </xf>
    <xf numFmtId="1" fontId="253" fillId="32" borderId="162" xfId="0" applyNumberFormat="1" applyFont="1" applyFill="1" applyBorder="1" applyAlignment="1">
      <alignment horizontal="center"/>
    </xf>
    <xf numFmtId="168" fontId="254" fillId="32" borderId="163" xfId="0" applyNumberFormat="1" applyFont="1" applyFill="1" applyBorder="1" applyAlignment="1">
      <alignment horizontal="center"/>
    </xf>
    <xf numFmtId="172" fontId="253" fillId="0" borderId="164" xfId="0" applyNumberFormat="1" applyFont="1" applyBorder="1" applyAlignment="1">
      <alignment horizontal="center"/>
    </xf>
    <xf numFmtId="1" fontId="253" fillId="0" borderId="164" xfId="0" applyNumberFormat="1" applyFont="1" applyBorder="1" applyAlignment="1">
      <alignment horizontal="center"/>
    </xf>
    <xf numFmtId="168" fontId="254" fillId="0" borderId="165" xfId="0" applyNumberFormat="1" applyFont="1" applyBorder="1" applyAlignment="1">
      <alignment horizontal="center"/>
    </xf>
    <xf numFmtId="0" fontId="253" fillId="25" borderId="0" xfId="0" applyFont="1" applyFill="1" applyAlignment="1">
      <alignment horizontal="center"/>
    </xf>
    <xf numFmtId="10" fontId="90" fillId="25" borderId="0" xfId="0" applyNumberFormat="1" applyFont="1" applyFill="1" applyAlignment="1">
      <alignment horizontal="center"/>
    </xf>
    <xf numFmtId="10" fontId="255" fillId="25" borderId="0" xfId="0" applyNumberFormat="1" applyFont="1" applyFill="1" applyAlignment="1">
      <alignment horizontal="center"/>
    </xf>
    <xf numFmtId="0" fontId="253" fillId="28" borderId="0" xfId="0" applyFont="1" applyFill="1" applyAlignment="1">
      <alignment horizontal="center"/>
    </xf>
    <xf numFmtId="1" fontId="253" fillId="25" borderId="0" xfId="0" applyNumberFormat="1" applyFont="1" applyFill="1" applyAlignment="1">
      <alignment horizontal="center"/>
    </xf>
    <xf numFmtId="1" fontId="253" fillId="48" borderId="0" xfId="0" applyNumberFormat="1" applyFont="1" applyFill="1" applyAlignment="1">
      <alignment horizontal="center"/>
    </xf>
    <xf numFmtId="10" fontId="90" fillId="48" borderId="0" xfId="0" applyNumberFormat="1" applyFont="1" applyFill="1" applyAlignment="1">
      <alignment horizontal="center"/>
    </xf>
    <xf numFmtId="0" fontId="250" fillId="65" borderId="0" xfId="0" applyFont="1" applyFill="1" applyAlignment="1">
      <alignment horizontal="left" wrapText="1"/>
    </xf>
    <xf numFmtId="228" fontId="26" fillId="41" borderId="71" xfId="0" applyNumberFormat="1" applyFont="1" applyFill="1" applyBorder="1" applyAlignment="1">
      <alignment horizontal="center"/>
    </xf>
    <xf numFmtId="228" fontId="26" fillId="41" borderId="36" xfId="0" applyNumberFormat="1" applyFont="1" applyFill="1" applyBorder="1" applyAlignment="1">
      <alignment horizontal="center"/>
    </xf>
    <xf numFmtId="0" fontId="229" fillId="0" borderId="0" xfId="0" applyFont="1" applyAlignment="1">
      <alignment horizontal="left" vertical="top" wrapText="1"/>
    </xf>
    <xf numFmtId="233" fontId="26" fillId="41" borderId="158" xfId="0" applyNumberFormat="1" applyFont="1" applyFill="1" applyBorder="1" applyAlignment="1">
      <alignment horizontal="center"/>
    </xf>
    <xf numFmtId="233" fontId="26" fillId="41" borderId="159" xfId="0" applyNumberFormat="1" applyFont="1" applyFill="1" applyBorder="1" applyAlignment="1">
      <alignment horizontal="center"/>
    </xf>
    <xf numFmtId="0" fontId="68" fillId="37" borderId="0" xfId="0" applyFont="1" applyFill="1" applyAlignment="1">
      <alignment horizontal="left" vertical="center" indent="1"/>
    </xf>
    <xf numFmtId="0" fontId="26" fillId="32" borderId="154" xfId="0" applyFont="1" applyFill="1" applyBorder="1" applyAlignment="1">
      <alignment horizontal="center"/>
    </xf>
    <xf numFmtId="0" fontId="26" fillId="32" borderId="155" xfId="0" applyFont="1" applyFill="1" applyBorder="1" applyAlignment="1">
      <alignment horizontal="center"/>
    </xf>
    <xf numFmtId="200" fontId="62" fillId="32" borderId="72" xfId="0" applyNumberFormat="1" applyFont="1" applyFill="1" applyBorder="1" applyAlignment="1">
      <alignment horizontal="center" vertical="center"/>
    </xf>
    <xf numFmtId="200" fontId="62" fillId="32" borderId="37" xfId="0" applyNumberFormat="1" applyFont="1" applyFill="1" applyBorder="1" applyAlignment="1">
      <alignment horizontal="center" vertical="center"/>
    </xf>
    <xf numFmtId="217" fontId="26" fillId="28" borderId="0" xfId="0" applyNumberFormat="1" applyFont="1" applyFill="1" applyAlignment="1">
      <alignment horizontal="left" wrapText="1"/>
    </xf>
    <xf numFmtId="0" fontId="26" fillId="42" borderId="0" xfId="0" applyFont="1" applyFill="1" applyAlignment="1">
      <alignment horizontal="center" vertical="center"/>
    </xf>
    <xf numFmtId="0" fontId="26" fillId="39" borderId="0" xfId="0" applyFont="1" applyFill="1" applyAlignment="1">
      <alignment horizontal="center" vertical="center"/>
    </xf>
    <xf numFmtId="0" fontId="0" fillId="32" borderId="0" xfId="0" applyFill="1" applyAlignment="1">
      <alignment horizontal="center" vertical="center" wrapText="1"/>
    </xf>
    <xf numFmtId="0" fontId="0" fillId="32" borderId="0" xfId="0" applyFill="1" applyAlignment="1">
      <alignment horizontal="center" vertical="center"/>
    </xf>
    <xf numFmtId="0" fontId="0" fillId="26" borderId="0" xfId="0" applyFill="1" applyAlignment="1">
      <alignment horizontal="center" wrapText="1"/>
    </xf>
    <xf numFmtId="0" fontId="0" fillId="26" borderId="0" xfId="0" applyFill="1" applyAlignment="1">
      <alignment horizontal="center"/>
    </xf>
    <xf numFmtId="0" fontId="26" fillId="45" borderId="0" xfId="0" applyFont="1" applyFill="1" applyAlignment="1">
      <alignment horizontal="center" vertical="center"/>
    </xf>
    <xf numFmtId="0" fontId="0" fillId="41" borderId="0" xfId="0" applyFill="1" applyAlignment="1">
      <alignment horizontal="center" vertical="center"/>
    </xf>
    <xf numFmtId="0" fontId="3" fillId="2" borderId="0" xfId="0" applyFont="1" applyFill="1" applyAlignment="1">
      <alignment horizontal="center" vertical="center" wrapText="1"/>
    </xf>
    <xf numFmtId="0" fontId="3" fillId="32" borderId="0" xfId="0" applyFont="1" applyFill="1" applyAlignment="1">
      <alignment horizontal="center" vertical="center"/>
    </xf>
    <xf numFmtId="0" fontId="3" fillId="0" borderId="0" xfId="0" applyFont="1" applyAlignment="1">
      <alignment horizontal="center" vertical="center" wrapText="1"/>
    </xf>
    <xf numFmtId="0" fontId="98" fillId="37" borderId="2" xfId="0" applyFont="1" applyFill="1" applyBorder="1" applyAlignment="1">
      <alignment horizontal="center" vertical="center"/>
    </xf>
    <xf numFmtId="0" fontId="98" fillId="37" borderId="3" xfId="0" applyFont="1" applyFill="1" applyBorder="1" applyAlignment="1">
      <alignment horizontal="center" vertical="center"/>
    </xf>
    <xf numFmtId="0" fontId="98" fillId="37" borderId="9" xfId="0" applyFont="1" applyFill="1" applyBorder="1" applyAlignment="1">
      <alignment horizontal="center"/>
    </xf>
    <xf numFmtId="0" fontId="98" fillId="37" borderId="7" xfId="0" applyFont="1" applyFill="1" applyBorder="1" applyAlignment="1">
      <alignment horizontal="center"/>
    </xf>
    <xf numFmtId="0" fontId="98" fillId="37" borderId="8" xfId="0" applyFont="1" applyFill="1" applyBorder="1" applyAlignment="1">
      <alignment horizontal="center"/>
    </xf>
    <xf numFmtId="0" fontId="3" fillId="27" borderId="2" xfId="0" applyFont="1" applyFill="1" applyBorder="1" applyAlignment="1">
      <alignment horizontal="center" vertical="center" wrapText="1"/>
    </xf>
    <xf numFmtId="0" fontId="3" fillId="27" borderId="1" xfId="0" applyFont="1" applyFill="1" applyBorder="1" applyAlignment="1">
      <alignment horizontal="center" vertical="center"/>
    </xf>
    <xf numFmtId="0" fontId="3" fillId="36" borderId="2" xfId="0" applyFont="1" applyFill="1" applyBorder="1" applyAlignment="1">
      <alignment horizontal="center" vertical="center"/>
    </xf>
    <xf numFmtId="0" fontId="65" fillId="24" borderId="39" xfId="0" applyFont="1" applyFill="1" applyBorder="1" applyAlignment="1">
      <alignment horizontal="center" vertical="center"/>
    </xf>
    <xf numFmtId="0" fontId="65" fillId="24" borderId="40" xfId="0" applyFont="1" applyFill="1" applyBorder="1" applyAlignment="1">
      <alignment horizontal="center" vertical="center"/>
    </xf>
    <xf numFmtId="0" fontId="3" fillId="0" borderId="14" xfId="0" applyFont="1" applyBorder="1" applyAlignment="1">
      <alignment horizontal="center" vertical="center"/>
    </xf>
    <xf numFmtId="0" fontId="3" fillId="0" borderId="34" xfId="0" applyFont="1" applyBorder="1" applyAlignment="1">
      <alignment horizontal="center" vertical="center"/>
    </xf>
    <xf numFmtId="0" fontId="65" fillId="23" borderId="0" xfId="0" applyFont="1" applyFill="1" applyAlignment="1">
      <alignment horizontal="center" vertical="center"/>
    </xf>
    <xf numFmtId="0" fontId="3" fillId="5" borderId="0" xfId="0" applyFont="1" applyFill="1" applyAlignment="1">
      <alignment horizontal="center"/>
    </xf>
    <xf numFmtId="0" fontId="182" fillId="37" borderId="0" xfId="32" applyFont="1" applyFill="1" applyAlignment="1">
      <alignment horizontal="center" vertical="center"/>
    </xf>
    <xf numFmtId="0" fontId="75" fillId="55" borderId="0" xfId="32" applyFont="1" applyFill="1" applyAlignment="1">
      <alignment horizontal="center"/>
    </xf>
    <xf numFmtId="0" fontId="75" fillId="0" borderId="134" xfId="32" applyFont="1" applyBorder="1" applyAlignment="1">
      <alignment horizontal="center"/>
    </xf>
    <xf numFmtId="0" fontId="75" fillId="0" borderId="129" xfId="32" applyFont="1" applyBorder="1" applyAlignment="1">
      <alignment horizontal="center"/>
    </xf>
    <xf numFmtId="0" fontId="75" fillId="0" borderId="135" xfId="32" applyFont="1" applyBorder="1" applyAlignment="1">
      <alignment horizontal="center"/>
    </xf>
    <xf numFmtId="0" fontId="132" fillId="57" borderId="0" xfId="32" applyFont="1" applyFill="1" applyAlignment="1">
      <alignment horizontal="center" vertical="center"/>
    </xf>
    <xf numFmtId="0" fontId="180" fillId="0" borderId="134" xfId="32" applyFont="1" applyBorder="1" applyAlignment="1">
      <alignment horizontal="center"/>
    </xf>
    <xf numFmtId="0" fontId="180" fillId="0" borderId="135" xfId="32" applyFont="1" applyBorder="1" applyAlignment="1">
      <alignment horizontal="center"/>
    </xf>
    <xf numFmtId="0" fontId="75" fillId="0" borderId="134" xfId="32" applyFont="1" applyBorder="1" applyAlignment="1">
      <alignment horizontal="center" vertical="center"/>
    </xf>
    <xf numFmtId="0" fontId="75" fillId="0" borderId="129" xfId="32" applyFont="1" applyBorder="1" applyAlignment="1">
      <alignment horizontal="center" vertical="center"/>
    </xf>
    <xf numFmtId="0" fontId="75" fillId="0" borderId="135" xfId="32" applyFont="1" applyBorder="1" applyAlignment="1">
      <alignment horizontal="center" vertical="center"/>
    </xf>
    <xf numFmtId="0" fontId="40" fillId="15" borderId="16" xfId="32" applyFill="1" applyBorder="1" applyAlignment="1">
      <alignment horizontal="center" vertical="center"/>
    </xf>
    <xf numFmtId="0" fontId="40" fillId="15" borderId="53" xfId="32" applyFill="1" applyBorder="1" applyAlignment="1">
      <alignment horizontal="center" vertical="center"/>
    </xf>
    <xf numFmtId="0" fontId="16" fillId="31" borderId="63" xfId="32" applyFont="1" applyFill="1" applyBorder="1" applyAlignment="1">
      <alignment horizontal="center" vertical="center"/>
    </xf>
    <xf numFmtId="0" fontId="16" fillId="31" borderId="88" xfId="32" applyFont="1" applyFill="1" applyBorder="1" applyAlignment="1">
      <alignment horizontal="center" vertical="center"/>
    </xf>
    <xf numFmtId="0" fontId="16" fillId="29" borderId="89" xfId="32" applyFont="1" applyFill="1" applyBorder="1" applyAlignment="1">
      <alignment horizontal="center" vertical="center"/>
    </xf>
    <xf numFmtId="0" fontId="16" fillId="15" borderId="15" xfId="32" applyFont="1" applyFill="1" applyBorder="1" applyAlignment="1">
      <alignment horizontal="right" vertical="center" indent="1"/>
    </xf>
    <xf numFmtId="0" fontId="16" fillId="15" borderId="139" xfId="32" applyFont="1" applyFill="1" applyBorder="1" applyAlignment="1">
      <alignment horizontal="right" vertical="center" indent="1"/>
    </xf>
    <xf numFmtId="0" fontId="16" fillId="15" borderId="141" xfId="32" applyFont="1" applyFill="1" applyBorder="1" applyAlignment="1">
      <alignment horizontal="right" vertical="center" indent="1"/>
    </xf>
    <xf numFmtId="0" fontId="132" fillId="50" borderId="0" xfId="32" applyFont="1" applyFill="1" applyAlignment="1">
      <alignment horizontal="center"/>
    </xf>
    <xf numFmtId="0" fontId="133" fillId="0" borderId="0" xfId="32" applyFont="1" applyAlignment="1">
      <alignment horizontal="center"/>
    </xf>
    <xf numFmtId="0" fontId="75" fillId="39" borderId="93" xfId="32" applyFont="1" applyFill="1" applyBorder="1" applyAlignment="1">
      <alignment horizontal="center" vertical="center"/>
    </xf>
    <xf numFmtId="0" fontId="75" fillId="39" borderId="0" xfId="32" applyFont="1" applyFill="1" applyAlignment="1">
      <alignment horizontal="center" vertical="center"/>
    </xf>
    <xf numFmtId="0" fontId="40" fillId="15" borderId="14" xfId="32" applyFill="1" applyBorder="1" applyAlignment="1">
      <alignment horizontal="center" vertical="center" wrapText="1"/>
    </xf>
    <xf numFmtId="0" fontId="40" fillId="15" borderId="17" xfId="32" applyFill="1" applyBorder="1" applyAlignment="1">
      <alignment horizontal="center" vertical="center" wrapText="1"/>
    </xf>
    <xf numFmtId="0" fontId="40" fillId="15" borderId="34" xfId="32" applyFill="1" applyBorder="1" applyAlignment="1">
      <alignment horizontal="center" vertical="center" wrapText="1"/>
    </xf>
    <xf numFmtId="0" fontId="16" fillId="15" borderId="89" xfId="32" applyFont="1" applyFill="1" applyBorder="1" applyAlignment="1">
      <alignment horizontal="right" vertical="center" indent="1"/>
    </xf>
    <xf numFmtId="0" fontId="16" fillId="15" borderId="34" xfId="32" applyFont="1" applyFill="1" applyBorder="1" applyAlignment="1">
      <alignment horizontal="right" vertical="center" indent="1"/>
    </xf>
    <xf numFmtId="0" fontId="40" fillId="43" borderId="134" xfId="32" applyFill="1" applyBorder="1" applyAlignment="1">
      <alignment horizontal="center"/>
    </xf>
    <xf numFmtId="0" fontId="40" fillId="43" borderId="135" xfId="32" applyFill="1" applyBorder="1" applyAlignment="1">
      <alignment horizontal="center"/>
    </xf>
    <xf numFmtId="0" fontId="72" fillId="15" borderId="15" xfId="32" applyFont="1" applyFill="1" applyBorder="1" applyAlignment="1">
      <alignment horizontal="right" vertical="center" indent="1"/>
    </xf>
    <xf numFmtId="0" fontId="16" fillId="15" borderId="45" xfId="32" applyFont="1" applyFill="1" applyBorder="1" applyAlignment="1">
      <alignment horizontal="center" vertical="center" wrapText="1"/>
    </xf>
    <xf numFmtId="0" fontId="16" fillId="15" borderId="48" xfId="32" applyFont="1" applyFill="1" applyBorder="1" applyAlignment="1">
      <alignment horizontal="center" vertical="center" wrapText="1"/>
    </xf>
    <xf numFmtId="0" fontId="16" fillId="53" borderId="63" xfId="32" applyFont="1" applyFill="1" applyBorder="1" applyAlignment="1">
      <alignment horizontal="center" vertical="center"/>
    </xf>
    <xf numFmtId="0" fontId="16" fillId="53" borderId="69" xfId="32" applyFont="1" applyFill="1" applyBorder="1" applyAlignment="1">
      <alignment horizontal="center" vertical="center"/>
    </xf>
    <xf numFmtId="0" fontId="16" fillId="52" borderId="14" xfId="32" applyFont="1" applyFill="1" applyBorder="1" applyAlignment="1">
      <alignment horizontal="center" vertical="center"/>
    </xf>
    <xf numFmtId="0" fontId="16" fillId="15" borderId="15" xfId="32" applyFont="1" applyFill="1" applyBorder="1" applyAlignment="1">
      <alignment horizontal="left" vertical="center"/>
    </xf>
    <xf numFmtId="0" fontId="16" fillId="15" borderId="16" xfId="32" applyFont="1" applyFill="1" applyBorder="1" applyAlignment="1">
      <alignment horizontal="left" vertical="center"/>
    </xf>
    <xf numFmtId="0" fontId="16" fillId="15" borderId="53" xfId="32" applyFont="1" applyFill="1" applyBorder="1" applyAlignment="1">
      <alignment horizontal="left" vertical="center"/>
    </xf>
    <xf numFmtId="0" fontId="16" fillId="15" borderId="34" xfId="32" applyFont="1" applyFill="1" applyBorder="1" applyAlignment="1">
      <alignment horizontal="left" vertical="center"/>
    </xf>
    <xf numFmtId="0" fontId="40" fillId="17" borderId="71" xfId="32" applyFill="1" applyBorder="1" applyAlignment="1">
      <alignment horizontal="left" vertical="center"/>
    </xf>
    <xf numFmtId="0" fontId="40" fillId="17" borderId="0" xfId="32" applyFill="1" applyAlignment="1">
      <alignment horizontal="left" vertical="center"/>
    </xf>
    <xf numFmtId="0" fontId="16" fillId="16" borderId="50" xfId="32" applyFont="1" applyFill="1" applyBorder="1" applyAlignment="1">
      <alignment horizontal="left" vertical="center" indent="1"/>
    </xf>
    <xf numFmtId="0" fontId="16" fillId="16" borderId="54" xfId="32" applyFont="1" applyFill="1" applyBorder="1" applyAlignment="1">
      <alignment horizontal="left" vertical="center" indent="1"/>
    </xf>
    <xf numFmtId="0" fontId="75" fillId="15" borderId="15" xfId="32" applyFont="1" applyFill="1" applyBorder="1" applyAlignment="1">
      <alignment horizontal="left" vertical="center"/>
    </xf>
    <xf numFmtId="0" fontId="40" fillId="15" borderId="15" xfId="32" applyFill="1" applyBorder="1" applyAlignment="1">
      <alignment horizontal="center" vertical="center" wrapText="1"/>
    </xf>
    <xf numFmtId="0" fontId="16" fillId="15" borderId="63" xfId="32" applyFont="1" applyFill="1" applyBorder="1" applyAlignment="1">
      <alignment horizontal="center" vertical="center"/>
    </xf>
    <xf numFmtId="0" fontId="16" fillId="15" borderId="69" xfId="32" applyFont="1" applyFill="1" applyBorder="1" applyAlignment="1">
      <alignment horizontal="center" vertical="center"/>
    </xf>
    <xf numFmtId="0" fontId="16" fillId="15" borderId="14" xfId="32" applyFont="1" applyFill="1" applyBorder="1" applyAlignment="1">
      <alignment horizontal="center" vertical="center"/>
    </xf>
    <xf numFmtId="0" fontId="16" fillId="0" borderId="11" xfId="32" applyFont="1" applyBorder="1" applyAlignment="1">
      <alignment horizontal="left" vertical="center"/>
    </xf>
    <xf numFmtId="0" fontId="16" fillId="0" borderId="5" xfId="32" applyFont="1" applyBorder="1" applyAlignment="1">
      <alignment horizontal="left" vertical="center"/>
    </xf>
    <xf numFmtId="0" fontId="40" fillId="0" borderId="10" xfId="32" applyBorder="1" applyAlignment="1">
      <alignment horizontal="right" vertical="center"/>
    </xf>
    <xf numFmtId="0" fontId="207" fillId="0" borderId="0" xfId="48" applyFont="1" applyAlignment="1">
      <alignment horizontal="center"/>
    </xf>
    <xf numFmtId="0" fontId="202" fillId="0" borderId="0" xfId="48" applyFont="1" applyAlignment="1">
      <alignment horizontal="center"/>
    </xf>
    <xf numFmtId="0" fontId="204" fillId="0" borderId="0" xfId="48" applyFont="1" applyAlignment="1">
      <alignment horizontal="left"/>
    </xf>
    <xf numFmtId="0" fontId="26" fillId="41" borderId="0" xfId="0" applyFont="1" applyFill="1" applyAlignment="1">
      <alignment horizontal="center"/>
    </xf>
    <xf numFmtId="0" fontId="26" fillId="32" borderId="0" xfId="0" applyFont="1" applyFill="1" applyAlignment="1">
      <alignment horizontal="center"/>
    </xf>
    <xf numFmtId="199" fontId="91" fillId="0" borderId="0" xfId="0" applyNumberFormat="1" applyFont="1" applyAlignment="1">
      <alignment horizontal="left" vertical="top"/>
    </xf>
    <xf numFmtId="0" fontId="118" fillId="0" borderId="0" xfId="0" applyFont="1" applyAlignment="1">
      <alignment horizontal="left" wrapText="1"/>
    </xf>
    <xf numFmtId="0" fontId="118" fillId="0" borderId="32" xfId="0" applyFont="1" applyBorder="1" applyAlignment="1">
      <alignment horizontal="left" wrapText="1"/>
    </xf>
    <xf numFmtId="0" fontId="26" fillId="0" borderId="0" xfId="0" applyFont="1" applyAlignment="1">
      <alignment horizontal="center"/>
    </xf>
    <xf numFmtId="0" fontId="58" fillId="28" borderId="0" xfId="0" applyFont="1" applyFill="1" applyAlignment="1">
      <alignment horizontal="center"/>
    </xf>
    <xf numFmtId="0" fontId="3" fillId="39" borderId="2" xfId="0" applyFont="1" applyFill="1" applyBorder="1" applyAlignment="1">
      <alignment horizontal="center" vertical="center"/>
    </xf>
    <xf numFmtId="0" fontId="3" fillId="0" borderId="11" xfId="0" applyFont="1" applyBorder="1" applyAlignment="1">
      <alignment horizontal="center" vertical="center" wrapText="1"/>
    </xf>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3" fillId="0" borderId="4" xfId="0" applyFont="1" applyBorder="1" applyAlignment="1">
      <alignment horizontal="center" vertical="center"/>
    </xf>
    <xf numFmtId="0" fontId="3" fillId="0" borderId="2" xfId="0" applyFont="1" applyBorder="1" applyAlignment="1">
      <alignment horizontal="center" vertical="center" wrapText="1"/>
    </xf>
    <xf numFmtId="0" fontId="3" fillId="0" borderId="12" xfId="0" applyFont="1" applyBorder="1" applyAlignment="1">
      <alignment horizontal="center" vertical="center" wrapText="1"/>
    </xf>
    <xf numFmtId="0" fontId="3" fillId="0" borderId="0" xfId="0" applyFont="1" applyAlignment="1">
      <alignment horizontal="center" vertical="center"/>
    </xf>
    <xf numFmtId="0" fontId="3" fillId="39" borderId="11" xfId="0" applyFont="1" applyFill="1" applyBorder="1" applyAlignment="1">
      <alignment horizontal="center" vertical="center"/>
    </xf>
    <xf numFmtId="0" fontId="3" fillId="39" borderId="12" xfId="0" applyFont="1" applyFill="1" applyBorder="1" applyAlignment="1">
      <alignment horizontal="center" vertical="center"/>
    </xf>
    <xf numFmtId="0" fontId="3" fillId="39" borderId="5" xfId="0" applyFont="1" applyFill="1" applyBorder="1" applyAlignment="1">
      <alignment horizontal="center" vertical="center"/>
    </xf>
    <xf numFmtId="0" fontId="3" fillId="39" borderId="9" xfId="0" applyFont="1" applyFill="1" applyBorder="1" applyAlignment="1">
      <alignment horizontal="center" vertical="center"/>
    </xf>
    <xf numFmtId="0" fontId="3" fillId="39" borderId="7" xfId="0" applyFont="1" applyFill="1" applyBorder="1" applyAlignment="1">
      <alignment horizontal="center" vertical="center"/>
    </xf>
    <xf numFmtId="0" fontId="3" fillId="39" borderId="8" xfId="0" applyFont="1" applyFill="1" applyBorder="1" applyAlignment="1">
      <alignment horizontal="center" vertical="center"/>
    </xf>
    <xf numFmtId="0" fontId="26" fillId="0" borderId="10" xfId="0" applyFont="1" applyBorder="1" applyAlignment="1">
      <alignment horizontal="center"/>
    </xf>
    <xf numFmtId="0" fontId="3" fillId="0" borderId="12" xfId="0" applyFont="1" applyBorder="1" applyAlignment="1">
      <alignment horizontal="center" vertical="center"/>
    </xf>
    <xf numFmtId="0" fontId="59" fillId="0" borderId="19" xfId="1" applyFont="1" applyBorder="1" applyAlignment="1">
      <alignment horizontal="center"/>
    </xf>
    <xf numFmtId="0" fontId="23" fillId="21" borderId="0" xfId="1" applyFont="1" applyFill="1" applyAlignment="1">
      <alignment horizontal="center"/>
    </xf>
    <xf numFmtId="0" fontId="26" fillId="48" borderId="0" xfId="0" applyFont="1" applyFill="1" applyAlignment="1">
      <alignment horizontal="center"/>
    </xf>
    <xf numFmtId="0" fontId="3" fillId="2" borderId="1" xfId="0" applyFont="1" applyFill="1" applyBorder="1" applyAlignment="1">
      <alignment horizontal="center" vertical="center"/>
    </xf>
    <xf numFmtId="0" fontId="3" fillId="7" borderId="115" xfId="0" applyFont="1" applyFill="1" applyBorder="1" applyAlignment="1">
      <alignment horizontal="center" vertical="center"/>
    </xf>
    <xf numFmtId="0" fontId="3" fillId="7" borderId="116" xfId="0" applyFont="1" applyFill="1" applyBorder="1" applyAlignment="1">
      <alignment horizontal="center" vertical="center"/>
    </xf>
    <xf numFmtId="0" fontId="3" fillId="7" borderId="117" xfId="0" applyFont="1" applyFill="1" applyBorder="1" applyAlignment="1">
      <alignment horizontal="center" vertical="center"/>
    </xf>
    <xf numFmtId="0" fontId="73" fillId="0" borderId="0" xfId="0" applyFont="1" applyAlignment="1">
      <alignment horizontal="right" vertical="center"/>
    </xf>
    <xf numFmtId="0" fontId="0" fillId="0" borderId="0" xfId="0" applyAlignment="1">
      <alignment horizontal="left" wrapText="1"/>
    </xf>
    <xf numFmtId="0" fontId="0" fillId="0" borderId="0" xfId="0" applyAlignment="1">
      <alignment horizontal="center" vertical="center"/>
    </xf>
    <xf numFmtId="0" fontId="0" fillId="0" borderId="0" xfId="0" applyAlignment="1">
      <alignment vertical="top" wrapText="1"/>
    </xf>
    <xf numFmtId="0" fontId="49" fillId="32" borderId="136" xfId="32" applyFont="1" applyFill="1" applyBorder="1" applyAlignment="1">
      <alignment horizontal="left" indent="1"/>
    </xf>
    <xf numFmtId="0" fontId="49" fillId="32" borderId="137" xfId="32" applyFont="1" applyFill="1" applyBorder="1" applyAlignment="1">
      <alignment horizontal="left" indent="1"/>
    </xf>
    <xf numFmtId="0" fontId="49" fillId="32" borderId="138" xfId="32" applyFont="1" applyFill="1" applyBorder="1" applyAlignment="1">
      <alignment horizontal="left" indent="1"/>
    </xf>
    <xf numFmtId="0" fontId="49" fillId="32" borderId="139" xfId="32" applyFont="1" applyFill="1" applyBorder="1" applyAlignment="1">
      <alignment horizontal="left" indent="1"/>
    </xf>
    <xf numFmtId="0" fontId="49" fillId="32" borderId="140" xfId="32" applyFont="1" applyFill="1" applyBorder="1" applyAlignment="1">
      <alignment horizontal="left" indent="1"/>
    </xf>
    <xf numFmtId="0" fontId="49" fillId="32" borderId="141" xfId="32" applyFont="1" applyFill="1" applyBorder="1" applyAlignment="1">
      <alignment horizontal="left" indent="1"/>
    </xf>
    <xf numFmtId="0" fontId="133" fillId="32" borderId="139" xfId="32" applyFont="1" applyFill="1" applyBorder="1" applyAlignment="1">
      <alignment horizontal="left" indent="1"/>
    </xf>
    <xf numFmtId="0" fontId="133" fillId="32" borderId="140" xfId="32" applyFont="1" applyFill="1" applyBorder="1" applyAlignment="1">
      <alignment horizontal="left" indent="1"/>
    </xf>
    <xf numFmtId="0" fontId="133" fillId="32" borderId="141" xfId="32" applyFont="1" applyFill="1" applyBorder="1" applyAlignment="1">
      <alignment horizontal="left" indent="1"/>
    </xf>
  </cellXfs>
  <cellStyles count="49">
    <cellStyle name="Accent 1 1" xfId="2" xr:uid="{00000000-0005-0000-0000-000000000000}"/>
    <cellStyle name="Accent 1 2" xfId="3" xr:uid="{00000000-0005-0000-0000-000001000000}"/>
    <cellStyle name="Accent 2 1" xfId="4" xr:uid="{00000000-0005-0000-0000-000002000000}"/>
    <cellStyle name="Accent 2 2" xfId="5" xr:uid="{00000000-0005-0000-0000-000003000000}"/>
    <cellStyle name="Accent 3 1" xfId="6" xr:uid="{00000000-0005-0000-0000-000004000000}"/>
    <cellStyle name="Accent 3 2" xfId="7" xr:uid="{00000000-0005-0000-0000-000005000000}"/>
    <cellStyle name="Accent 4" xfId="8" xr:uid="{00000000-0005-0000-0000-000006000000}"/>
    <cellStyle name="Accent 5" xfId="9" xr:uid="{00000000-0005-0000-0000-000007000000}"/>
    <cellStyle name="Bad 1" xfId="10" xr:uid="{00000000-0005-0000-0000-000008000000}"/>
    <cellStyle name="Bad 2" xfId="11" xr:uid="{00000000-0005-0000-0000-000009000000}"/>
    <cellStyle name="Comma 2" xfId="40" xr:uid="{00000000-0005-0000-0000-00000B000000}"/>
    <cellStyle name="Currency 2" xfId="41" xr:uid="{00000000-0005-0000-0000-00000D000000}"/>
    <cellStyle name="Error 1" xfId="12" xr:uid="{00000000-0005-0000-0000-00000E000000}"/>
    <cellStyle name="Error 2" xfId="13" xr:uid="{00000000-0005-0000-0000-00000F000000}"/>
    <cellStyle name="Footnote 1" xfId="14" xr:uid="{00000000-0005-0000-0000-000010000000}"/>
    <cellStyle name="Footnote 2" xfId="15" xr:uid="{00000000-0005-0000-0000-000011000000}"/>
    <cellStyle name="Good 1" xfId="16" xr:uid="{00000000-0005-0000-0000-000012000000}"/>
    <cellStyle name="Good 2" xfId="17" xr:uid="{00000000-0005-0000-0000-000013000000}"/>
    <cellStyle name="Heading" xfId="42" xr:uid="{00000000-0005-0000-0000-000014000000}"/>
    <cellStyle name="Heading 1 1" xfId="18" xr:uid="{00000000-0005-0000-0000-000015000000}"/>
    <cellStyle name="Heading 1 2" xfId="19" xr:uid="{00000000-0005-0000-0000-000016000000}"/>
    <cellStyle name="Heading 2 1" xfId="20" xr:uid="{00000000-0005-0000-0000-000017000000}"/>
    <cellStyle name="Heading 2 2" xfId="21" xr:uid="{00000000-0005-0000-0000-000018000000}"/>
    <cellStyle name="Heading1" xfId="43" xr:uid="{00000000-0005-0000-0000-000019000000}"/>
    <cellStyle name="Lien hypertexte" xfId="47" builtinId="8"/>
    <cellStyle name="Milliers" xfId="35" builtinId="3"/>
    <cellStyle name="Monétaire" xfId="34" builtinId="4"/>
    <cellStyle name="Neutral 1" xfId="22" xr:uid="{00000000-0005-0000-0000-00001B000000}"/>
    <cellStyle name="Neutral 2" xfId="23" xr:uid="{00000000-0005-0000-0000-00001C000000}"/>
    <cellStyle name="Normal" xfId="0" builtinId="0"/>
    <cellStyle name="Normal 2" xfId="1" xr:uid="{00000000-0005-0000-0000-00001E000000}"/>
    <cellStyle name="Normal 3" xfId="32" xr:uid="{00000000-0005-0000-0000-00001F000000}"/>
    <cellStyle name="Normal 4" xfId="37" xr:uid="{00000000-0005-0000-0000-000020000000}"/>
    <cellStyle name="Normal 5" xfId="44" xr:uid="{00000000-0005-0000-0000-000021000000}"/>
    <cellStyle name="Normal 6" xfId="38" xr:uid="{00000000-0005-0000-0000-000022000000}"/>
    <cellStyle name="Normal 7" xfId="36" xr:uid="{00000000-0005-0000-0000-000023000000}"/>
    <cellStyle name="Normal 8" xfId="48" xr:uid="{00000000-0005-0000-0000-000024000000}"/>
    <cellStyle name="Note 1" xfId="24" xr:uid="{00000000-0005-0000-0000-000025000000}"/>
    <cellStyle name="Note 2" xfId="25" xr:uid="{00000000-0005-0000-0000-000026000000}"/>
    <cellStyle name="Percent 2" xfId="39" xr:uid="{00000000-0005-0000-0000-000028000000}"/>
    <cellStyle name="Pourcentage" xfId="33" builtinId="5"/>
    <cellStyle name="Result" xfId="45" xr:uid="{00000000-0005-0000-0000-000029000000}"/>
    <cellStyle name="Result2" xfId="46" xr:uid="{00000000-0005-0000-0000-00002A000000}"/>
    <cellStyle name="Status 1" xfId="26" xr:uid="{00000000-0005-0000-0000-00002B000000}"/>
    <cellStyle name="Status 2" xfId="27" xr:uid="{00000000-0005-0000-0000-00002C000000}"/>
    <cellStyle name="Text 1" xfId="28" xr:uid="{00000000-0005-0000-0000-00002D000000}"/>
    <cellStyle name="Text 2" xfId="29" xr:uid="{00000000-0005-0000-0000-00002E000000}"/>
    <cellStyle name="Warning 1" xfId="30" xr:uid="{00000000-0005-0000-0000-00002F000000}"/>
    <cellStyle name="Warning 2" xfId="31" xr:uid="{00000000-0005-0000-0000-000030000000}"/>
  </cellStyles>
  <dxfs count="0"/>
  <tableStyles count="0" defaultTableStyle="TableStyleMedium2" defaultPivotStyle="PivotStyleLight16"/>
  <colors>
    <indexedColors>
      <rgbColor rgb="FF000000"/>
      <rgbColor rgb="FFFFFFFF"/>
      <rgbColor rgb="FFFF3333"/>
      <rgbColor rgb="FF00CC33"/>
      <rgbColor rgb="FF0000FF"/>
      <rgbColor rgb="FFFFFF00"/>
      <rgbColor rgb="FFFF33FF"/>
      <rgbColor rgb="FF00FFFF"/>
      <rgbColor rgb="FF801900"/>
      <rgbColor rgb="FF009933"/>
      <rgbColor rgb="FF000080"/>
      <rgbColor rgb="FF808000"/>
      <rgbColor rgb="FF990099"/>
      <rgbColor rgb="FF008080"/>
      <rgbColor rgb="FFB3B3B3"/>
      <rgbColor rgb="FF808080"/>
      <rgbColor rgb="FF9999FF"/>
      <rgbColor rgb="FF993366"/>
      <rgbColor rgb="FFFDE9A9"/>
      <rgbColor rgb="FFCCFFFF"/>
      <rgbColor rgb="FF660066"/>
      <rgbColor rgb="FFFF8080"/>
      <rgbColor rgb="FF0066CC"/>
      <rgbColor rgb="FFDDDDDD"/>
      <rgbColor rgb="FF000080"/>
      <rgbColor rgb="FFFF00FF"/>
      <rgbColor rgb="FFFFFF00"/>
      <rgbColor rgb="FF00FFFF"/>
      <rgbColor rgb="FF9900FF"/>
      <rgbColor rgb="FF800000"/>
      <rgbColor rgb="FF008080"/>
      <rgbColor rgb="FF0000FF"/>
      <rgbColor rgb="FF00CCFF"/>
      <rgbColor rgb="FFCFE7F5"/>
      <rgbColor rgb="FFCCFFCC"/>
      <rgbColor rgb="FFFFFF99"/>
      <rgbColor rgb="FFAADCF7"/>
      <rgbColor rgb="FFFF99CC"/>
      <rgbColor rgb="FFCC99FF"/>
      <rgbColor rgb="FFFFCC99"/>
      <rgbColor rgb="FF3366FF"/>
      <rgbColor rgb="FF66CCFF"/>
      <rgbColor rgb="FF99CC00"/>
      <rgbColor rgb="FFFFD320"/>
      <rgbColor rgb="FFFF9900"/>
      <rgbColor rgb="FFFF420E"/>
      <rgbColor rgb="FF666699"/>
      <rgbColor rgb="FF969696"/>
      <rgbColor rgb="FF004586"/>
      <rgbColor rgb="FF43C330"/>
      <rgbColor rgb="FF003300"/>
      <rgbColor rgb="FF333300"/>
      <rgbColor rgb="FFA33E03"/>
      <rgbColor rgb="FF993366"/>
      <rgbColor rgb="FF3333FF"/>
      <rgbColor rgb="FF333333"/>
      <rgbColor rgb="00003366"/>
      <rgbColor rgb="00339966"/>
      <rgbColor rgb="00003300"/>
      <rgbColor rgb="00333300"/>
      <rgbColor rgb="00993300"/>
      <rgbColor rgb="00993366"/>
      <rgbColor rgb="00333399"/>
      <rgbColor rgb="00333333"/>
    </indexedColors>
    <mruColors>
      <color rgb="FF0000CC"/>
      <color rgb="FF0033CC"/>
      <color rgb="FFFFFF99"/>
      <color rgb="FFFFFF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title>
      <c:tx>
        <c:rich>
          <a:bodyPr rot="0"/>
          <a:lstStyle/>
          <a:p>
            <a:pPr>
              <a:defRPr sz="1300" b="1" strike="noStrike" spc="20" baseline="0">
                <a:solidFill>
                  <a:srgbClr val="000000"/>
                </a:solidFill>
                <a:uFill>
                  <a:solidFill>
                    <a:srgbClr val="FFFFFF"/>
                  </a:solidFill>
                </a:uFill>
                <a:latin typeface="Arial"/>
              </a:defRPr>
            </a:pPr>
            <a:r>
              <a:rPr lang="en-US" sz="1300" b="1" strike="noStrike" spc="20" baseline="0">
                <a:solidFill>
                  <a:srgbClr val="000000"/>
                </a:solidFill>
                <a:uFill>
                  <a:solidFill>
                    <a:srgbClr val="FFFFFF"/>
                  </a:solidFill>
                </a:uFill>
                <a:latin typeface="Arial"/>
              </a:rPr>
              <a:t>Photovoltaic Electricity Cost</a:t>
            </a:r>
          </a:p>
        </c:rich>
      </c:tx>
      <c:overlay val="0"/>
    </c:title>
    <c:autoTitleDeleted val="0"/>
    <c:plotArea>
      <c:layout>
        <c:manualLayout>
          <c:layoutTarget val="inner"/>
          <c:xMode val="edge"/>
          <c:yMode val="edge"/>
          <c:x val="0.11834934688777042"/>
          <c:y val="0.12993424080232069"/>
          <c:w val="0.80769463630111105"/>
          <c:h val="0.69650847980336628"/>
        </c:manualLayout>
      </c:layout>
      <c:lineChart>
        <c:grouping val="standard"/>
        <c:varyColors val="0"/>
        <c:ser>
          <c:idx val="0"/>
          <c:order val="0"/>
          <c:tx>
            <c:v>Intermitent $/kWh</c:v>
          </c:tx>
          <c:spPr>
            <a:ln w="28800">
              <a:solidFill>
                <a:srgbClr val="004586"/>
              </a:solidFill>
              <a:round/>
            </a:ln>
          </c:spPr>
          <c:marker>
            <c:symbol val="square"/>
            <c:size val="8"/>
            <c:spPr>
              <a:solidFill>
                <a:srgbClr val="004586"/>
              </a:solidFill>
            </c:spPr>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evol'!$N$20:$N$30</c:f>
              <c:numCache>
                <c:formatCode>[$$-409]#,##0.000;[Red]\-[$$-409]#,##0.000</c:formatCode>
                <c:ptCount val="11"/>
                <c:pt idx="0">
                  <c:v>3.0667412633656844E-2</c:v>
                </c:pt>
                <c:pt idx="1">
                  <c:v>2.9814119761942239E-2</c:v>
                </c:pt>
                <c:pt idx="2">
                  <c:v>2.896082689022763E-2</c:v>
                </c:pt>
                <c:pt idx="3">
                  <c:v>2.8107534018513024E-2</c:v>
                </c:pt>
                <c:pt idx="4">
                  <c:v>2.7254241146798419E-2</c:v>
                </c:pt>
                <c:pt idx="5">
                  <c:v>2.640094827508381E-2</c:v>
                </c:pt>
                <c:pt idx="6">
                  <c:v>2.5547655403369205E-2</c:v>
                </c:pt>
                <c:pt idx="7">
                  <c:v>2.4694362531654596E-2</c:v>
                </c:pt>
                <c:pt idx="8">
                  <c:v>2.3841069659939991E-2</c:v>
                </c:pt>
                <c:pt idx="9">
                  <c:v>2.2987776788225382E-2</c:v>
                </c:pt>
                <c:pt idx="10">
                  <c:v>2.2134483916510777E-2</c:v>
                </c:pt>
              </c:numCache>
            </c:numRef>
          </c:val>
          <c:smooth val="0"/>
          <c:extLst>
            <c:ext xmlns:c16="http://schemas.microsoft.com/office/drawing/2014/chart" uri="{C3380CC4-5D6E-409C-BE32-E72D297353CC}">
              <c16:uniqueId val="{00000000-9D59-AD45-B618-B31EC1D66E8E}"/>
            </c:ext>
          </c:extLst>
        </c:ser>
        <c:ser>
          <c:idx val="1"/>
          <c:order val="1"/>
          <c:tx>
            <c:v>Li-ion stabilized</c:v>
          </c:tx>
          <c:spPr>
            <a:ln w="28800">
              <a:solidFill>
                <a:srgbClr val="FF420E"/>
              </a:solidFill>
              <a:round/>
            </a:ln>
          </c:spPr>
          <c:marker>
            <c:symbol val="diamond"/>
            <c:size val="8"/>
            <c:spPr>
              <a:solidFill>
                <a:srgbClr val="FF420E"/>
              </a:solidFill>
            </c:spPr>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evol'!$P$20:$P$30</c:f>
              <c:numCache>
                <c:formatCode>[$$-409]#,##0.000;[Red]\-[$$-409]#,##0.000</c:formatCode>
                <c:ptCount val="11"/>
                <c:pt idx="0">
                  <c:v>7.7869731013673657E-2</c:v>
                </c:pt>
                <c:pt idx="1">
                  <c:v>7.5259784430978707E-2</c:v>
                </c:pt>
                <c:pt idx="2">
                  <c:v>7.2649837848283744E-2</c:v>
                </c:pt>
                <c:pt idx="3">
                  <c:v>7.0039891265588794E-2</c:v>
                </c:pt>
                <c:pt idx="4">
                  <c:v>6.7429944682893844E-2</c:v>
                </c:pt>
                <c:pt idx="5">
                  <c:v>6.4819998100198881E-2</c:v>
                </c:pt>
                <c:pt idx="6">
                  <c:v>6.2210051517503931E-2</c:v>
                </c:pt>
                <c:pt idx="7">
                  <c:v>5.9600104934808981E-2</c:v>
                </c:pt>
                <c:pt idx="8">
                  <c:v>5.6990158352114025E-2</c:v>
                </c:pt>
                <c:pt idx="9">
                  <c:v>5.4380211769419068E-2</c:v>
                </c:pt>
                <c:pt idx="10">
                  <c:v>5.1770265186724118E-2</c:v>
                </c:pt>
              </c:numCache>
            </c:numRef>
          </c:val>
          <c:smooth val="0"/>
          <c:extLst>
            <c:ext xmlns:c16="http://schemas.microsoft.com/office/drawing/2014/chart" uri="{C3380CC4-5D6E-409C-BE32-E72D297353CC}">
              <c16:uniqueId val="{00000001-9D59-AD45-B618-B31EC1D66E8E}"/>
            </c:ext>
          </c:extLst>
        </c:ser>
        <c:ser>
          <c:idx val="2"/>
          <c:order val="2"/>
          <c:tx>
            <c:v>AZA Zinc-Air stabilized</c:v>
          </c:tx>
          <c:spPr>
            <a:ln w="28800">
              <a:solidFill>
                <a:srgbClr val="FFD320"/>
              </a:solidFill>
              <a:round/>
            </a:ln>
          </c:spPr>
          <c:marker>
            <c:symbol val="triangle"/>
            <c:size val="8"/>
            <c:spPr>
              <a:solidFill>
                <a:srgbClr val="FFD320"/>
              </a:solidFill>
            </c:spPr>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'PV Stabilized LCOE evol'!$K$20:$K$30</c:f>
              <c:numCache>
                <c:formatCode>General</c:formatCode>
                <c:ptCount val="11"/>
                <c:pt idx="0">
                  <c:v>2020</c:v>
                </c:pt>
                <c:pt idx="1">
                  <c:v>2021</c:v>
                </c:pt>
                <c:pt idx="2">
                  <c:v>2022</c:v>
                </c:pt>
                <c:pt idx="3">
                  <c:v>2023</c:v>
                </c:pt>
                <c:pt idx="4">
                  <c:v>2024</c:v>
                </c:pt>
                <c:pt idx="5">
                  <c:v>2025</c:v>
                </c:pt>
                <c:pt idx="6">
                  <c:v>2026</c:v>
                </c:pt>
                <c:pt idx="7">
                  <c:v>2027</c:v>
                </c:pt>
                <c:pt idx="8">
                  <c:v>2028</c:v>
                </c:pt>
                <c:pt idx="9">
                  <c:v>2029</c:v>
                </c:pt>
                <c:pt idx="10">
                  <c:v>2030</c:v>
                </c:pt>
              </c:numCache>
            </c:numRef>
          </c:cat>
          <c:val>
            <c:numRef>
              <c:f>'PV Stabilized LCOE evol'!$R$20:$R$30</c:f>
              <c:numCache>
                <c:formatCode>General</c:formatCode>
                <c:ptCount val="11"/>
                <c:pt idx="3" formatCode="[$$-409]#,##0.000;[Red]\-[$$-409]#,##0.000">
                  <c:v>6.4778617095521962E-2</c:v>
                </c:pt>
                <c:pt idx="4" formatCode="[$$-409]#,##0.000;[Red]\-[$$-409]#,##0.000">
                  <c:v>6.0555890254767174E-2</c:v>
                </c:pt>
                <c:pt idx="5" formatCode="[$$-409]#,##0.000;[Red]\-[$$-409]#,##0.000">
                  <c:v>5.6333163414012385E-2</c:v>
                </c:pt>
                <c:pt idx="6" formatCode="[$$-409]#,##0.000;[Red]\-[$$-409]#,##0.000">
                  <c:v>5.2110436573257597E-2</c:v>
                </c:pt>
                <c:pt idx="7" formatCode="[$$-409]#,##0.000;[Red]\-[$$-409]#,##0.000">
                  <c:v>4.7887709732502809E-2</c:v>
                </c:pt>
                <c:pt idx="8" formatCode="[$$-409]#,##0.000;[Red]\-[$$-409]#,##0.000">
                  <c:v>4.3664982891748021E-2</c:v>
                </c:pt>
                <c:pt idx="9" formatCode="[$$-409]#,##0.000;[Red]\-[$$-409]#,##0.000">
                  <c:v>3.9442256050993232E-2</c:v>
                </c:pt>
                <c:pt idx="10" formatCode="[$$-409]#,##0.000;[Red]\-[$$-409]#,##0.000">
                  <c:v>3.5219529210238444E-2</c:v>
                </c:pt>
              </c:numCache>
            </c:numRef>
          </c:val>
          <c:smooth val="0"/>
          <c:extLst>
            <c:ext xmlns:c16="http://schemas.microsoft.com/office/drawing/2014/chart" uri="{C3380CC4-5D6E-409C-BE32-E72D297353CC}">
              <c16:uniqueId val="{00000002-9D59-AD45-B618-B31EC1D66E8E}"/>
            </c:ext>
          </c:extLst>
        </c:ser>
        <c:dLbls>
          <c:showLegendKey val="0"/>
          <c:showVal val="0"/>
          <c:showCatName val="0"/>
          <c:showSerName val="0"/>
          <c:showPercent val="0"/>
          <c:showBubbleSize val="0"/>
        </c:dLbls>
        <c:hiLowLines>
          <c:spPr>
            <a:ln>
              <a:noFill/>
            </a:ln>
          </c:spPr>
        </c:hiLowLines>
        <c:marker val="1"/>
        <c:smooth val="0"/>
        <c:axId val="145875328"/>
        <c:axId val="145876864"/>
      </c:lineChart>
      <c:catAx>
        <c:axId val="145875328"/>
        <c:scaling>
          <c:orientation val="minMax"/>
        </c:scaling>
        <c:delete val="0"/>
        <c:axPos val="b"/>
        <c:numFmt formatCode="General" sourceLinked="1"/>
        <c:majorTickMark val="out"/>
        <c:minorTickMark val="none"/>
        <c:tickLblPos val="nextTo"/>
        <c:spPr>
          <a:ln>
            <a:solidFill>
              <a:srgbClr val="B3B3B3"/>
            </a:solidFill>
          </a:ln>
        </c:spPr>
        <c:txPr>
          <a:bodyPr/>
          <a:lstStyle/>
          <a:p>
            <a:pPr>
              <a:defRPr sz="1050" b="0" strike="noStrike" spc="-1">
                <a:solidFill>
                  <a:srgbClr val="000000"/>
                </a:solidFill>
                <a:uFill>
                  <a:solidFill>
                    <a:srgbClr val="FFFFFF"/>
                  </a:solidFill>
                </a:uFill>
                <a:latin typeface="Arial"/>
              </a:defRPr>
            </a:pPr>
            <a:endParaRPr lang="fr-FR"/>
          </a:p>
        </c:txPr>
        <c:crossAx val="145876864"/>
        <c:crosses val="autoZero"/>
        <c:auto val="1"/>
        <c:lblAlgn val="ctr"/>
        <c:lblOffset val="100"/>
        <c:noMultiLvlLbl val="1"/>
      </c:catAx>
      <c:valAx>
        <c:axId val="145876864"/>
        <c:scaling>
          <c:orientation val="minMax"/>
          <c:max val="0.12000000000000001"/>
        </c:scaling>
        <c:delete val="0"/>
        <c:axPos val="l"/>
        <c:majorGridlines>
          <c:spPr>
            <a:ln>
              <a:solidFill>
                <a:srgbClr val="B3B3B3"/>
              </a:solidFill>
            </a:ln>
          </c:spPr>
        </c:majorGridlines>
        <c:minorGridlines>
          <c:spPr>
            <a:ln>
              <a:solidFill>
                <a:srgbClr val="DDDDDD"/>
              </a:solidFill>
            </a:ln>
          </c:spPr>
        </c:minorGridlines>
        <c:title>
          <c:tx>
            <c:rich>
              <a:bodyPr rot="0"/>
              <a:lstStyle/>
              <a:p>
                <a:pPr>
                  <a:defRPr sz="1000" b="1" strike="noStrike" spc="-1">
                    <a:solidFill>
                      <a:srgbClr val="000000"/>
                    </a:solidFill>
                    <a:uFill>
                      <a:solidFill>
                        <a:srgbClr val="FFFFFF"/>
                      </a:solidFill>
                    </a:uFill>
                    <a:latin typeface="Arial"/>
                  </a:defRPr>
                </a:pPr>
                <a:r>
                  <a:rPr lang="en-US" sz="1000" b="1" strike="noStrike" spc="-1">
                    <a:solidFill>
                      <a:srgbClr val="000000"/>
                    </a:solidFill>
                    <a:uFill>
                      <a:solidFill>
                        <a:srgbClr val="FFFFFF"/>
                      </a:solidFill>
                    </a:uFill>
                    <a:latin typeface="Arial"/>
                  </a:rPr>
                  <a:t>$ / kWh</a:t>
                </a:r>
              </a:p>
            </c:rich>
          </c:tx>
          <c:layout>
            <c:manualLayout>
              <c:xMode val="edge"/>
              <c:yMode val="edge"/>
              <c:x val="1.2039611830187454E-2"/>
              <c:y val="3.9546901218267115E-2"/>
            </c:manualLayout>
          </c:layout>
          <c:overlay val="0"/>
        </c:title>
        <c:numFmt formatCode="[$$-409]#,##0.000;[Red]\-[$$-409]#,##0.000" sourceLinked="0"/>
        <c:majorTickMark val="out"/>
        <c:minorTickMark val="none"/>
        <c:tickLblPos val="nextTo"/>
        <c:spPr>
          <a:ln>
            <a:solidFill>
              <a:srgbClr val="B3B3B3"/>
            </a:solidFill>
          </a:ln>
        </c:spPr>
        <c:txPr>
          <a:bodyPr/>
          <a:lstStyle/>
          <a:p>
            <a:pPr>
              <a:defRPr sz="1050" b="0" strike="noStrike" spc="-1">
                <a:solidFill>
                  <a:srgbClr val="000000"/>
                </a:solidFill>
                <a:uFill>
                  <a:solidFill>
                    <a:srgbClr val="FFFFFF"/>
                  </a:solidFill>
                </a:uFill>
                <a:latin typeface="Arial"/>
              </a:defRPr>
            </a:pPr>
            <a:endParaRPr lang="fr-FR"/>
          </a:p>
        </c:txPr>
        <c:crossAx val="145875328"/>
        <c:crosses val="autoZero"/>
        <c:crossBetween val="midCat"/>
      </c:valAx>
      <c:spPr>
        <a:noFill/>
        <a:ln>
          <a:solidFill>
            <a:srgbClr val="B3B3B3"/>
          </a:solidFill>
        </a:ln>
      </c:spPr>
    </c:plotArea>
    <c:legend>
      <c:legendPos val="b"/>
      <c:layout>
        <c:manualLayout>
          <c:xMode val="edge"/>
          <c:yMode val="edge"/>
          <c:x val="2.9513040794777869E-2"/>
          <c:y val="0.89431941600938902"/>
          <c:w val="0.90582390118140044"/>
          <c:h val="8.5053144700473648E-2"/>
        </c:manualLayout>
      </c:layout>
      <c:overlay val="0"/>
      <c:spPr>
        <a:noFill/>
        <a:ln>
          <a:noFill/>
        </a:ln>
      </c:spPr>
      <c:txPr>
        <a:bodyPr/>
        <a:lstStyle/>
        <a:p>
          <a:pPr>
            <a:defRPr sz="1050"/>
          </a:pPr>
          <a:endParaRPr lang="fr-FR"/>
        </a:p>
      </c:txPr>
    </c:legend>
    <c:plotVisOnly val="1"/>
    <c:dispBlanksAs val="gap"/>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title>
      <c:tx>
        <c:rich>
          <a:bodyPr rot="0"/>
          <a:lstStyle/>
          <a:p>
            <a:pPr>
              <a:defRPr sz="1300" b="1" strike="noStrike" spc="-1">
                <a:solidFill>
                  <a:srgbClr val="000000"/>
                </a:solidFill>
                <a:uFill>
                  <a:solidFill>
                    <a:srgbClr val="FFFFFF"/>
                  </a:solidFill>
                </a:uFill>
                <a:latin typeface="Arial"/>
              </a:defRPr>
            </a:pPr>
            <a:r>
              <a:rPr lang="en-US" sz="1300" b="1" strike="noStrike" spc="-1">
                <a:solidFill>
                  <a:srgbClr val="000000"/>
                </a:solidFill>
                <a:uFill>
                  <a:solidFill>
                    <a:srgbClr val="FFFFFF"/>
                  </a:solidFill>
                </a:uFill>
                <a:latin typeface="Arial"/>
              </a:rPr>
              <a:t>Battery Stabilized LCOE</a:t>
            </a:r>
          </a:p>
        </c:rich>
      </c:tx>
      <c:overlay val="0"/>
    </c:title>
    <c:autoTitleDeleted val="0"/>
    <c:plotArea>
      <c:layout/>
      <c:lineChart>
        <c:grouping val="standard"/>
        <c:varyColors val="0"/>
        <c:ser>
          <c:idx val="0"/>
          <c:order val="0"/>
          <c:tx>
            <c:strRef>
              <c:f>'AZA-Sensitivity PV-LCOE'!$L$12</c:f>
              <c:strCache>
                <c:ptCount val="1"/>
                <c:pt idx="0">
                  <c:v>AZA</c:v>
                </c:pt>
              </c:strCache>
            </c:strRef>
          </c:tx>
          <c:spPr>
            <a:ln w="28800">
              <a:solidFill>
                <a:srgbClr val="004586"/>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'AZA-Sensitivity PV-LCOE'!$K$13:$K$27</c:f>
              <c:numCache>
                <c:formatCode>[$$-409]#,##0.000;[Red]\-[$$-409]#,##0.000</c:formatCode>
                <c:ptCount val="15"/>
                <c:pt idx="0">
                  <c:v>0.08</c:v>
                </c:pt>
                <c:pt idx="1">
                  <c:v>7.4999999999999997E-2</c:v>
                </c:pt>
                <c:pt idx="2">
                  <c:v>6.9999999999999993E-2</c:v>
                </c:pt>
                <c:pt idx="3">
                  <c:v>6.4999999999999988E-2</c:v>
                </c:pt>
                <c:pt idx="4">
                  <c:v>5.9999999999999991E-2</c:v>
                </c:pt>
                <c:pt idx="5">
                  <c:v>5.4999999999999993E-2</c:v>
                </c:pt>
                <c:pt idx="6">
                  <c:v>4.9999999999999996E-2</c:v>
                </c:pt>
                <c:pt idx="7">
                  <c:v>4.4999999999999998E-2</c:v>
                </c:pt>
                <c:pt idx="8">
                  <c:v>0.04</c:v>
                </c:pt>
                <c:pt idx="9">
                  <c:v>3.5000000000000003E-2</c:v>
                </c:pt>
                <c:pt idx="10">
                  <c:v>3.0000000000000002E-2</c:v>
                </c:pt>
                <c:pt idx="11">
                  <c:v>2.5000000000000001E-2</c:v>
                </c:pt>
                <c:pt idx="12">
                  <c:v>0.02</c:v>
                </c:pt>
                <c:pt idx="13">
                  <c:v>1.4999999999999999E-2</c:v>
                </c:pt>
                <c:pt idx="14">
                  <c:v>9.9999999999999985E-3</c:v>
                </c:pt>
              </c:numCache>
            </c:numRef>
          </c:cat>
          <c:val>
            <c:numRef>
              <c:f>'AZA-Sensitivity PV-LCOE'!$L$13:$L$27</c:f>
              <c:numCache>
                <c:formatCode>[$$-409]#,##0.000;[Red]\-[$$-409]#,##0.000</c:formatCode>
                <c:ptCount val="15"/>
                <c:pt idx="0">
                  <c:v>0.13095147209512575</c:v>
                </c:pt>
                <c:pt idx="1">
                  <c:v>0.12326834712438547</c:v>
                </c:pt>
                <c:pt idx="2">
                  <c:v>0.1155852221536452</c:v>
                </c:pt>
                <c:pt idx="3">
                  <c:v>0.1079020971829049</c:v>
                </c:pt>
                <c:pt idx="4">
                  <c:v>0.10021897221216462</c:v>
                </c:pt>
                <c:pt idx="5">
                  <c:v>9.2535847241424343E-2</c:v>
                </c:pt>
                <c:pt idx="6">
                  <c:v>8.4852722270684064E-2</c:v>
                </c:pt>
                <c:pt idx="7">
                  <c:v>7.7169597299943785E-2</c:v>
                </c:pt>
                <c:pt idx="8">
                  <c:v>6.9486472329203491E-2</c:v>
                </c:pt>
                <c:pt idx="9">
                  <c:v>6.1803347358463219E-2</c:v>
                </c:pt>
                <c:pt idx="10">
                  <c:v>5.4120222387722933E-2</c:v>
                </c:pt>
                <c:pt idx="11">
                  <c:v>4.6437097416982653E-2</c:v>
                </c:pt>
                <c:pt idx="12">
                  <c:v>3.875397244624236E-2</c:v>
                </c:pt>
                <c:pt idx="13">
                  <c:v>3.1070847475502081E-2</c:v>
                </c:pt>
                <c:pt idx="14">
                  <c:v>2.3387722504761795E-2</c:v>
                </c:pt>
              </c:numCache>
            </c:numRef>
          </c:val>
          <c:smooth val="1"/>
          <c:extLst>
            <c:ext xmlns:c16="http://schemas.microsoft.com/office/drawing/2014/chart" uri="{C3380CC4-5D6E-409C-BE32-E72D297353CC}">
              <c16:uniqueId val="{00000000-7E40-BF46-98B3-F5ADA551A2F1}"/>
            </c:ext>
          </c:extLst>
        </c:ser>
        <c:ser>
          <c:idx val="1"/>
          <c:order val="1"/>
          <c:tx>
            <c:strRef>
              <c:f>'AZA-Sensitivity PV-LCOE'!$M$12</c:f>
              <c:strCache>
                <c:ptCount val="1"/>
                <c:pt idx="0">
                  <c:v>Li-ion</c:v>
                </c:pt>
              </c:strCache>
            </c:strRef>
          </c:tx>
          <c:spPr>
            <a:ln w="28800">
              <a:solidFill>
                <a:srgbClr val="FF420E"/>
              </a:solidFill>
              <a:round/>
            </a:ln>
          </c:spPr>
          <c:marker>
            <c:symbol val="none"/>
          </c:marker>
          <c:dLbls>
            <c:spPr>
              <a:noFill/>
              <a:ln>
                <a:noFill/>
              </a:ln>
              <a:effectLst/>
            </c:spPr>
            <c:dLblPos val="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numRef>
              <c:f>'AZA-Sensitivity PV-LCOE'!$K$13:$K$27</c:f>
              <c:numCache>
                <c:formatCode>[$$-409]#,##0.000;[Red]\-[$$-409]#,##0.000</c:formatCode>
                <c:ptCount val="15"/>
                <c:pt idx="0">
                  <c:v>0.08</c:v>
                </c:pt>
                <c:pt idx="1">
                  <c:v>7.4999999999999997E-2</c:v>
                </c:pt>
                <c:pt idx="2">
                  <c:v>6.9999999999999993E-2</c:v>
                </c:pt>
                <c:pt idx="3">
                  <c:v>6.4999999999999988E-2</c:v>
                </c:pt>
                <c:pt idx="4">
                  <c:v>5.9999999999999991E-2</c:v>
                </c:pt>
                <c:pt idx="5">
                  <c:v>5.4999999999999993E-2</c:v>
                </c:pt>
                <c:pt idx="6">
                  <c:v>4.9999999999999996E-2</c:v>
                </c:pt>
                <c:pt idx="7">
                  <c:v>4.4999999999999998E-2</c:v>
                </c:pt>
                <c:pt idx="8">
                  <c:v>0.04</c:v>
                </c:pt>
                <c:pt idx="9">
                  <c:v>3.5000000000000003E-2</c:v>
                </c:pt>
                <c:pt idx="10">
                  <c:v>3.0000000000000002E-2</c:v>
                </c:pt>
                <c:pt idx="11">
                  <c:v>2.5000000000000001E-2</c:v>
                </c:pt>
                <c:pt idx="12">
                  <c:v>0.02</c:v>
                </c:pt>
                <c:pt idx="13">
                  <c:v>1.4999999999999999E-2</c:v>
                </c:pt>
                <c:pt idx="14">
                  <c:v>9.9999999999999985E-3</c:v>
                </c:pt>
              </c:numCache>
            </c:numRef>
          </c:cat>
          <c:val>
            <c:numRef>
              <c:f>'AZA-Sensitivity PV-LCOE'!$M$13:$M$27</c:f>
              <c:numCache>
                <c:formatCode>[$$-409]#,##0.000;[Red]\-[$$-409]#,##0.000</c:formatCode>
                <c:ptCount val="15"/>
                <c:pt idx="0">
                  <c:v>0.12317084517411019</c:v>
                </c:pt>
                <c:pt idx="1">
                  <c:v>0.11727857778037144</c:v>
                </c:pt>
                <c:pt idx="2">
                  <c:v>0.1113863103866327</c:v>
                </c:pt>
                <c:pt idx="3">
                  <c:v>0.10549404299289396</c:v>
                </c:pt>
                <c:pt idx="4">
                  <c:v>9.9601775599155215E-2</c:v>
                </c:pt>
                <c:pt idx="5">
                  <c:v>9.3709508205416486E-2</c:v>
                </c:pt>
                <c:pt idx="6">
                  <c:v>8.7817240811677744E-2</c:v>
                </c:pt>
                <c:pt idx="7">
                  <c:v>8.1924973417939001E-2</c:v>
                </c:pt>
                <c:pt idx="8">
                  <c:v>7.6032706024200272E-2</c:v>
                </c:pt>
                <c:pt idx="9">
                  <c:v>7.014043863046153E-2</c:v>
                </c:pt>
                <c:pt idx="10">
                  <c:v>6.4248171236722801E-2</c:v>
                </c:pt>
                <c:pt idx="11">
                  <c:v>5.8355903842984058E-2</c:v>
                </c:pt>
                <c:pt idx="12">
                  <c:v>5.2463636449245316E-2</c:v>
                </c:pt>
                <c:pt idx="13">
                  <c:v>4.6571369055506573E-2</c:v>
                </c:pt>
                <c:pt idx="14">
                  <c:v>4.067910166176783E-2</c:v>
                </c:pt>
              </c:numCache>
            </c:numRef>
          </c:val>
          <c:smooth val="1"/>
          <c:extLst>
            <c:ext xmlns:c16="http://schemas.microsoft.com/office/drawing/2014/chart" uri="{C3380CC4-5D6E-409C-BE32-E72D297353CC}">
              <c16:uniqueId val="{00000001-7E40-BF46-98B3-F5ADA551A2F1}"/>
            </c:ext>
          </c:extLst>
        </c:ser>
        <c:dLbls>
          <c:showLegendKey val="0"/>
          <c:showVal val="0"/>
          <c:showCatName val="0"/>
          <c:showSerName val="0"/>
          <c:showPercent val="0"/>
          <c:showBubbleSize val="0"/>
        </c:dLbls>
        <c:hiLowLines>
          <c:spPr>
            <a:ln>
              <a:noFill/>
            </a:ln>
          </c:spPr>
        </c:hiLowLines>
        <c:smooth val="0"/>
        <c:axId val="147039360"/>
        <c:axId val="147041280"/>
      </c:lineChart>
      <c:catAx>
        <c:axId val="147039360"/>
        <c:scaling>
          <c:orientation val="minMax"/>
        </c:scaling>
        <c:delete val="0"/>
        <c:axPos val="b"/>
        <c:majorGridlines>
          <c:spPr>
            <a:ln>
              <a:noFill/>
            </a:ln>
          </c:spPr>
        </c:majorGridlines>
        <c:title>
          <c:tx>
            <c:rich>
              <a:bodyPr rot="0"/>
              <a:lstStyle/>
              <a:p>
                <a:pPr>
                  <a:defRPr sz="900" b="1" strike="noStrike" spc="-1">
                    <a:solidFill>
                      <a:srgbClr val="000000"/>
                    </a:solidFill>
                    <a:uFill>
                      <a:solidFill>
                        <a:srgbClr val="FFFFFF"/>
                      </a:solidFill>
                    </a:uFill>
                    <a:latin typeface="Arial"/>
                  </a:defRPr>
                </a:pPr>
                <a:r>
                  <a:rPr lang="en-US" sz="900" b="1" strike="noStrike" spc="20" baseline="0">
                    <a:solidFill>
                      <a:srgbClr val="000000"/>
                    </a:solidFill>
                    <a:uFill>
                      <a:solidFill>
                        <a:srgbClr val="FFFFFF"/>
                      </a:solidFill>
                    </a:uFill>
                    <a:latin typeface="Arial" pitchFamily="34" charset="0"/>
                    <a:cs typeface="Arial" pitchFamily="34" charset="0"/>
                  </a:rPr>
                  <a:t>Solar PV intermitent  LCOE ($/kWh)</a:t>
                </a:r>
              </a:p>
            </c:rich>
          </c:tx>
          <c:layout>
            <c:manualLayout>
              <c:xMode val="edge"/>
              <c:yMode val="edge"/>
              <c:x val="0.21965518756135749"/>
              <c:y val="0.92729610217813696"/>
            </c:manualLayout>
          </c:layout>
          <c:overlay val="0"/>
        </c:title>
        <c:numFmt formatCode="[$$-409]#,##0.000;[Red]\-[$$-409]#,##0.000" sourceLinked="1"/>
        <c:majorTickMark val="out"/>
        <c:minorTickMark val="none"/>
        <c:tickLblPos val="nextTo"/>
        <c:spPr>
          <a:ln>
            <a:solidFill>
              <a:srgbClr val="B3B3B3"/>
            </a:solidFill>
          </a:ln>
        </c:spPr>
        <c:txPr>
          <a:bodyPr/>
          <a:lstStyle/>
          <a:p>
            <a:pPr>
              <a:defRPr sz="1000" b="0" strike="noStrike" spc="-1">
                <a:solidFill>
                  <a:srgbClr val="000000"/>
                </a:solidFill>
                <a:uFill>
                  <a:solidFill>
                    <a:srgbClr val="FFFFFF"/>
                  </a:solidFill>
                </a:uFill>
                <a:latin typeface="Arial"/>
              </a:defRPr>
            </a:pPr>
            <a:endParaRPr lang="fr-FR"/>
          </a:p>
        </c:txPr>
        <c:crossAx val="147041280"/>
        <c:crosses val="autoZero"/>
        <c:auto val="1"/>
        <c:lblAlgn val="ctr"/>
        <c:lblOffset val="100"/>
        <c:noMultiLvlLbl val="1"/>
      </c:catAx>
      <c:valAx>
        <c:axId val="147041280"/>
        <c:scaling>
          <c:orientation val="minMax"/>
        </c:scaling>
        <c:delete val="0"/>
        <c:axPos val="l"/>
        <c:majorGridlines>
          <c:spPr>
            <a:ln>
              <a:solidFill>
                <a:srgbClr val="B3B3B3"/>
              </a:solidFill>
            </a:ln>
          </c:spPr>
        </c:majorGridlines>
        <c:title>
          <c:tx>
            <c:rich>
              <a:bodyPr rot="-5400000"/>
              <a:lstStyle/>
              <a:p>
                <a:pPr>
                  <a:defRPr sz="900" b="1" strike="noStrike" spc="-1">
                    <a:solidFill>
                      <a:srgbClr val="000000"/>
                    </a:solidFill>
                    <a:uFill>
                      <a:solidFill>
                        <a:srgbClr val="FFFFFF"/>
                      </a:solidFill>
                    </a:uFill>
                    <a:latin typeface="Arial"/>
                  </a:defRPr>
                </a:pPr>
                <a:r>
                  <a:rPr lang="en-US" sz="900" b="1" strike="noStrike" spc="30" baseline="0">
                    <a:solidFill>
                      <a:srgbClr val="000000"/>
                    </a:solidFill>
                    <a:uFill>
                      <a:solidFill>
                        <a:srgbClr val="FFFFFF"/>
                      </a:solidFill>
                    </a:uFill>
                    <a:latin typeface="Arial"/>
                  </a:rPr>
                  <a:t>Battery Stabilized LCOE ($/kWh)</a:t>
                </a:r>
              </a:p>
            </c:rich>
          </c:tx>
          <c:layout>
            <c:manualLayout>
              <c:xMode val="edge"/>
              <c:yMode val="edge"/>
              <c:x val="2.0194924753034554E-2"/>
              <c:y val="0.1983921702560735"/>
            </c:manualLayout>
          </c:layout>
          <c:overlay val="0"/>
        </c:title>
        <c:numFmt formatCode="[$$-409]#,##0.00;[Red]\-[$$-409]#,##0.00" sourceLinked="0"/>
        <c:majorTickMark val="out"/>
        <c:minorTickMark val="none"/>
        <c:tickLblPos val="nextTo"/>
        <c:spPr>
          <a:ln>
            <a:solidFill>
              <a:srgbClr val="B3B3B3"/>
            </a:solidFill>
          </a:ln>
        </c:spPr>
        <c:txPr>
          <a:bodyPr/>
          <a:lstStyle/>
          <a:p>
            <a:pPr>
              <a:defRPr sz="1000" b="0" strike="noStrike" spc="-1">
                <a:solidFill>
                  <a:srgbClr val="000000"/>
                </a:solidFill>
                <a:uFill>
                  <a:solidFill>
                    <a:srgbClr val="FFFFFF"/>
                  </a:solidFill>
                </a:uFill>
                <a:latin typeface="Arial"/>
              </a:defRPr>
            </a:pPr>
            <a:endParaRPr lang="fr-FR"/>
          </a:p>
        </c:txPr>
        <c:crossAx val="147039360"/>
        <c:crosses val="autoZero"/>
        <c:crossBetween val="midCat"/>
      </c:valAx>
      <c:spPr>
        <a:noFill/>
        <a:ln>
          <a:solidFill>
            <a:srgbClr val="B3B3B3"/>
          </a:solidFill>
        </a:ln>
      </c:spPr>
    </c:plotArea>
    <c:legend>
      <c:legendPos val="r"/>
      <c:layout>
        <c:manualLayout>
          <c:xMode val="edge"/>
          <c:yMode val="edge"/>
          <c:x val="0.82629522316485082"/>
          <c:y val="0.27503421897079677"/>
          <c:w val="0.1433297018247188"/>
          <c:h val="0.12934886149850119"/>
        </c:manualLayout>
      </c:layout>
      <c:overlay val="0"/>
      <c:spPr>
        <a:noFill/>
        <a:ln>
          <a:noFill/>
        </a:ln>
      </c:spPr>
    </c:legend>
    <c:plotVisOnly val="1"/>
    <c:dispBlanksAs val="gap"/>
    <c:showDLblsOverMax val="1"/>
  </c:chart>
  <c:spPr>
    <a:solidFill>
      <a:srgbClr val="FFFFFF"/>
    </a:solidFill>
    <a:ln>
      <a:noFill/>
    </a:ln>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'LCOSE Sensitivity Study'!$F$8</c:f>
              <c:strCache>
                <c:ptCount val="1"/>
                <c:pt idx="0">
                  <c:v>Low</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Study'!$F$9:$F$16</c:f>
              <c:numCache>
                <c:formatCode>0%</c:formatCode>
                <c:ptCount val="8"/>
                <c:pt idx="0">
                  <c:v>-0.11068480041443385</c:v>
                </c:pt>
                <c:pt idx="1">
                  <c:v>-2.705920179136978E-2</c:v>
                </c:pt>
                <c:pt idx="2">
                  <c:v>-0.20786082384993865</c:v>
                </c:pt>
                <c:pt idx="3">
                  <c:v>-7.1148354709790196E-3</c:v>
                </c:pt>
                <c:pt idx="4">
                  <c:v>8.1321325461084504E-3</c:v>
                </c:pt>
                <c:pt idx="5">
                  <c:v>-9.5898195422042809E-3</c:v>
                </c:pt>
                <c:pt idx="6">
                  <c:v>0</c:v>
                </c:pt>
                <c:pt idx="7">
                  <c:v>6.1285720512616049E-4</c:v>
                </c:pt>
              </c:numCache>
            </c:numRef>
          </c:val>
          <c:extLst>
            <c:ext xmlns:c16="http://schemas.microsoft.com/office/drawing/2014/chart" uri="{C3380CC4-5D6E-409C-BE32-E72D297353CC}">
              <c16:uniqueId val="{00000000-D3BC-6346-8E7C-79A17C255595}"/>
            </c:ext>
          </c:extLst>
        </c:ser>
        <c:ser>
          <c:idx val="1"/>
          <c:order val="1"/>
          <c:tx>
            <c:strRef>
              <c:f>'LCOSE Sensitivity Study'!$G$8</c:f>
              <c:strCache>
                <c:ptCount val="1"/>
                <c:pt idx="0">
                  <c:v>High</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Study'!$G$9:$G$16</c:f>
              <c:numCache>
                <c:formatCode>0%</c:formatCode>
                <c:ptCount val="8"/>
                <c:pt idx="0">
                  <c:v>7.3789866942955751E-2</c:v>
                </c:pt>
                <c:pt idx="1">
                  <c:v>2.2549334826141298E-2</c:v>
                </c:pt>
                <c:pt idx="2">
                  <c:v>0.23006592665873138</c:v>
                </c:pt>
                <c:pt idx="3">
                  <c:v>3.2834832684720539E-3</c:v>
                </c:pt>
                <c:pt idx="4">
                  <c:v>-7.4150864198175848E-3</c:v>
                </c:pt>
                <c:pt idx="5">
                  <c:v>7.9869151262219606E-3</c:v>
                </c:pt>
                <c:pt idx="6">
                  <c:v>0</c:v>
                </c:pt>
                <c:pt idx="7">
                  <c:v>-3.7494318686792649E-4</c:v>
                </c:pt>
              </c:numCache>
            </c:numRef>
          </c:val>
          <c:extLst>
            <c:ext xmlns:c16="http://schemas.microsoft.com/office/drawing/2014/chart" uri="{C3380CC4-5D6E-409C-BE32-E72D297353CC}">
              <c16:uniqueId val="{00000001-D3BC-6346-8E7C-79A17C255595}"/>
            </c:ext>
          </c:extLst>
        </c:ser>
        <c:dLbls>
          <c:showLegendKey val="0"/>
          <c:showVal val="0"/>
          <c:showCatName val="0"/>
          <c:showSerName val="0"/>
          <c:showPercent val="0"/>
          <c:showBubbleSize val="0"/>
        </c:dLbls>
        <c:gapWidth val="150"/>
        <c:axId val="145910400"/>
        <c:axId val="147075456"/>
      </c:barChart>
      <c:catAx>
        <c:axId val="145910400"/>
        <c:scaling>
          <c:orientation val="maxMin"/>
        </c:scaling>
        <c:delete val="0"/>
        <c:axPos val="l"/>
        <c:numFmt formatCode="General" sourceLinked="0"/>
        <c:majorTickMark val="out"/>
        <c:minorTickMark val="none"/>
        <c:tickLblPos val="low"/>
        <c:crossAx val="147075456"/>
        <c:crosses val="autoZero"/>
        <c:auto val="1"/>
        <c:lblAlgn val="ctr"/>
        <c:lblOffset val="100"/>
        <c:noMultiLvlLbl val="0"/>
      </c:catAx>
      <c:valAx>
        <c:axId val="147075456"/>
        <c:scaling>
          <c:orientation val="minMax"/>
          <c:max val="0.5"/>
          <c:min val="-0.5"/>
        </c:scaling>
        <c:delete val="0"/>
        <c:axPos val="t"/>
        <c:majorGridlines/>
        <c:numFmt formatCode="0%" sourceLinked="1"/>
        <c:majorTickMark val="out"/>
        <c:minorTickMark val="none"/>
        <c:tickLblPos val="low"/>
        <c:crossAx val="1459104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'LCOSE Sensitivity Study'!$I$8</c:f>
              <c:strCache>
                <c:ptCount val="1"/>
                <c:pt idx="0">
                  <c:v>Low</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Study'!$I$9:$I$16</c:f>
              <c:numCache>
                <c:formatCode>0%</c:formatCode>
                <c:ptCount val="8"/>
                <c:pt idx="0">
                  <c:v>-4.6833212715734929E-2</c:v>
                </c:pt>
                <c:pt idx="1">
                  <c:v>-2.7734483005552035E-2</c:v>
                </c:pt>
                <c:pt idx="2">
                  <c:v>-0.17361334954017782</c:v>
                </c:pt>
                <c:pt idx="3">
                  <c:v>5.9017288849837479E-3</c:v>
                </c:pt>
                <c:pt idx="4">
                  <c:v>-6.7330135024040727E-3</c:v>
                </c:pt>
                <c:pt idx="5">
                  <c:v>7.9571281132501115E-3</c:v>
                </c:pt>
                <c:pt idx="6">
                  <c:v>0</c:v>
                </c:pt>
                <c:pt idx="7">
                  <c:v>-2.6977764780307112E-3</c:v>
                </c:pt>
              </c:numCache>
            </c:numRef>
          </c:val>
          <c:extLst>
            <c:ext xmlns:c16="http://schemas.microsoft.com/office/drawing/2014/chart" uri="{C3380CC4-5D6E-409C-BE32-E72D297353CC}">
              <c16:uniqueId val="{00000000-7BDA-624A-8976-65BCB56B1D0B}"/>
            </c:ext>
          </c:extLst>
        </c:ser>
        <c:ser>
          <c:idx val="1"/>
          <c:order val="1"/>
          <c:tx>
            <c:strRef>
              <c:f>'LCOSE Sensitivity Study'!$J$8</c:f>
              <c:strCache>
                <c:ptCount val="1"/>
                <c:pt idx="0">
                  <c:v>High</c:v>
                </c:pt>
              </c:strCache>
            </c:strRef>
          </c:tx>
          <c:invertIfNegative val="0"/>
          <c:cat>
            <c:strRef>
              <c:f>'LCOSE Sensitivity Study'!$E$9:$E$16</c:f>
              <c:strCache>
                <c:ptCount val="8"/>
                <c:pt idx="0">
                  <c:v>AZA Perfs (Costs &amp; SceLife)</c:v>
                </c:pt>
                <c:pt idx="1">
                  <c:v>AZA ZAB energy eff.</c:v>
                </c:pt>
                <c:pt idx="2">
                  <c:v>Li-ion 2020 performance</c:v>
                </c:pt>
                <c:pt idx="3">
                  <c:v>Inflation Rate</c:v>
                </c:pt>
                <c:pt idx="4">
                  <c:v>WACC nominal</c:v>
                </c:pt>
                <c:pt idx="5">
                  <c:v>PV OPEX/CAPEX</c:v>
                </c:pt>
                <c:pt idx="6">
                  <c:v>EUR2USD yearly progress</c:v>
                </c:pt>
                <c:pt idx="7">
                  <c:v>PV Balance of System</c:v>
                </c:pt>
              </c:strCache>
            </c:strRef>
          </c:cat>
          <c:val>
            <c:numRef>
              <c:f>'LCOSE Sensitivity Study'!$J$9:$J$16</c:f>
              <c:numCache>
                <c:formatCode>0%</c:formatCode>
                <c:ptCount val="8"/>
                <c:pt idx="0">
                  <c:v>3.1222141810489878E-2</c:v>
                </c:pt>
                <c:pt idx="1">
                  <c:v>2.3112069171292937E-2</c:v>
                </c:pt>
                <c:pt idx="2">
                  <c:v>0.16577844206490355</c:v>
                </c:pt>
                <c:pt idx="3">
                  <c:v>-2.7201763616729879E-3</c:v>
                </c:pt>
                <c:pt idx="4">
                  <c:v>6.1510118494159105E-3</c:v>
                </c:pt>
                <c:pt idx="5">
                  <c:v>-6.6128977507510234E-3</c:v>
                </c:pt>
                <c:pt idx="6">
                  <c:v>0</c:v>
                </c:pt>
                <c:pt idx="7">
                  <c:v>1.6552130658366027E-3</c:v>
                </c:pt>
              </c:numCache>
            </c:numRef>
          </c:val>
          <c:extLst>
            <c:ext xmlns:c16="http://schemas.microsoft.com/office/drawing/2014/chart" uri="{C3380CC4-5D6E-409C-BE32-E72D297353CC}">
              <c16:uniqueId val="{00000001-7BDA-624A-8976-65BCB56B1D0B}"/>
            </c:ext>
          </c:extLst>
        </c:ser>
        <c:dLbls>
          <c:showLegendKey val="0"/>
          <c:showVal val="0"/>
          <c:showCatName val="0"/>
          <c:showSerName val="0"/>
          <c:showPercent val="0"/>
          <c:showBubbleSize val="0"/>
        </c:dLbls>
        <c:gapWidth val="150"/>
        <c:axId val="154809472"/>
        <c:axId val="154811008"/>
      </c:barChart>
      <c:catAx>
        <c:axId val="154809472"/>
        <c:scaling>
          <c:orientation val="maxMin"/>
        </c:scaling>
        <c:delete val="0"/>
        <c:axPos val="l"/>
        <c:numFmt formatCode="General" sourceLinked="0"/>
        <c:majorTickMark val="out"/>
        <c:minorTickMark val="none"/>
        <c:tickLblPos val="low"/>
        <c:crossAx val="154811008"/>
        <c:crosses val="autoZero"/>
        <c:auto val="1"/>
        <c:lblAlgn val="ctr"/>
        <c:lblOffset val="100"/>
        <c:noMultiLvlLbl val="0"/>
      </c:catAx>
      <c:valAx>
        <c:axId val="154811008"/>
        <c:scaling>
          <c:orientation val="minMax"/>
          <c:max val="0.5"/>
          <c:min val="-0.5"/>
        </c:scaling>
        <c:delete val="0"/>
        <c:axPos val="t"/>
        <c:majorGridlines/>
        <c:numFmt formatCode="0%" sourceLinked="1"/>
        <c:majorTickMark val="out"/>
        <c:minorTickMark val="none"/>
        <c:tickLblPos val="low"/>
        <c:crossAx val="1548094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2E3436"/>
                </a:solidFill>
                <a:latin typeface="Arial"/>
                <a:ea typeface="Arial"/>
                <a:cs typeface="Arial"/>
              </a:defRPr>
            </a:pPr>
            <a:r>
              <a:rPr lang="en-US" sz="1000" b="1"/>
              <a:t>Cycles #</a:t>
            </a:r>
          </a:p>
        </c:rich>
      </c:tx>
      <c:layout>
        <c:manualLayout>
          <c:xMode val="edge"/>
          <c:yMode val="edge"/>
          <c:x val="1.1312187337099506E-2"/>
          <c:y val="2.0514493809613548E-2"/>
        </c:manualLayout>
      </c:layout>
      <c:overlay val="0"/>
      <c:spPr>
        <a:noFill/>
        <a:ln w="25400">
          <a:noFill/>
        </a:ln>
      </c:spPr>
    </c:title>
    <c:autoTitleDeleted val="0"/>
    <c:plotArea>
      <c:layout>
        <c:manualLayout>
          <c:layoutTarget val="inner"/>
          <c:xMode val="edge"/>
          <c:yMode val="edge"/>
          <c:x val="0.11085985097463033"/>
          <c:y val="0.13817960043920294"/>
          <c:w val="0.65568267620118637"/>
          <c:h val="0.70415837978917206"/>
        </c:manualLayout>
      </c:layout>
      <c:lineChart>
        <c:grouping val="standard"/>
        <c:varyColors val="0"/>
        <c:ser>
          <c:idx val="1"/>
          <c:order val="0"/>
          <c:tx>
            <c:strRef>
              <c:f>'AZA CyclesNbr'!$D$10</c:f>
              <c:strCache>
                <c:ptCount val="1"/>
                <c:pt idx="0">
                  <c:v>sept-15</c:v>
                </c:pt>
              </c:strCache>
            </c:strRef>
          </c:tx>
          <c:spPr>
            <a:ln w="38100">
              <a:solidFill>
                <a:srgbClr val="0070C0"/>
              </a:solidFill>
              <a:prstDash val="solid"/>
            </a:ln>
          </c:spPr>
          <c:marker>
            <c:symbol val="diamond"/>
            <c:size val="6"/>
            <c:spPr>
              <a:solidFill>
                <a:srgbClr val="FF420E"/>
              </a:solidFill>
              <a:ln>
                <a:solidFill>
                  <a:srgbClr val="FF420E"/>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CyclesNbr'!$D$11:$D$18</c:f>
              <c:numCache>
                <c:formatCode>General</c:formatCode>
                <c:ptCount val="8"/>
                <c:pt idx="0" formatCode="0">
                  <c:v>192.2534116133381</c:v>
                </c:pt>
                <c:pt idx="1">
                  <c:v>110</c:v>
                </c:pt>
              </c:numCache>
            </c:numRef>
          </c:val>
          <c:smooth val="0"/>
          <c:extLst>
            <c:ext xmlns:c16="http://schemas.microsoft.com/office/drawing/2014/chart" uri="{C3380CC4-5D6E-409C-BE32-E72D297353CC}">
              <c16:uniqueId val="{00000000-7763-AF4A-94E8-8CEF1C6C72A3}"/>
            </c:ext>
          </c:extLst>
        </c:ser>
        <c:ser>
          <c:idx val="2"/>
          <c:order val="1"/>
          <c:tx>
            <c:strRef>
              <c:f>'AZA CyclesNbr'!$E$10</c:f>
              <c:strCache>
                <c:ptCount val="1"/>
                <c:pt idx="0">
                  <c:v>juil-17</c:v>
                </c:pt>
              </c:strCache>
            </c:strRef>
          </c:tx>
          <c:spPr>
            <a:ln w="38100">
              <a:solidFill>
                <a:srgbClr val="FFD320"/>
              </a:solidFill>
              <a:prstDash val="solid"/>
            </a:ln>
          </c:spPr>
          <c:marker>
            <c:symbol val="dash"/>
            <c:size val="6"/>
            <c:spPr>
              <a:noFill/>
              <a:ln>
                <a:solidFill>
                  <a:srgbClr val="FFD320"/>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CyclesNbr'!$E$11:$E$18</c:f>
              <c:numCache>
                <c:formatCode>0</c:formatCode>
                <c:ptCount val="8"/>
                <c:pt idx="0">
                  <c:v>330.3339786211302</c:v>
                </c:pt>
                <c:pt idx="1">
                  <c:v>189.00438407514514</c:v>
                </c:pt>
                <c:pt idx="2">
                  <c:v>148.85682552418487</c:v>
                </c:pt>
                <c:pt idx="3" formatCode="General">
                  <c:v>130</c:v>
                </c:pt>
              </c:numCache>
            </c:numRef>
          </c:val>
          <c:smooth val="0"/>
          <c:extLst>
            <c:ext xmlns:c16="http://schemas.microsoft.com/office/drawing/2014/chart" uri="{C3380CC4-5D6E-409C-BE32-E72D297353CC}">
              <c16:uniqueId val="{00000001-7763-AF4A-94E8-8CEF1C6C72A3}"/>
            </c:ext>
          </c:extLst>
        </c:ser>
        <c:ser>
          <c:idx val="3"/>
          <c:order val="2"/>
          <c:tx>
            <c:strRef>
              <c:f>'AZA CyclesNbr'!$F$10</c:f>
              <c:strCache>
                <c:ptCount val="1"/>
                <c:pt idx="0">
                  <c:v>juin-18</c:v>
                </c:pt>
              </c:strCache>
            </c:strRef>
          </c:tx>
          <c:spPr>
            <a:ln w="38100">
              <a:solidFill>
                <a:srgbClr val="579D1C"/>
              </a:solidFill>
              <a:prstDash val="solid"/>
            </a:ln>
          </c:spPr>
          <c:marker>
            <c:symbol val="triangle"/>
            <c:size val="6"/>
            <c:spPr>
              <a:solidFill>
                <a:srgbClr val="579D1C"/>
              </a:solidFill>
              <a:ln>
                <a:solidFill>
                  <a:srgbClr val="579D1C"/>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CyclesNbr'!$F$11:$F$18</c:f>
              <c:numCache>
                <c:formatCode>0</c:formatCode>
                <c:ptCount val="8"/>
                <c:pt idx="0">
                  <c:v>516.30165250334323</c:v>
                </c:pt>
                <c:pt idx="1">
                  <c:v>295.40792695835614</c:v>
                </c:pt>
                <c:pt idx="2">
                  <c:v>232.65855158268712</c:v>
                </c:pt>
                <c:pt idx="3">
                  <c:v>203.18592445621718</c:v>
                </c:pt>
                <c:pt idx="4" formatCode="General">
                  <c:v>180</c:v>
                </c:pt>
              </c:numCache>
            </c:numRef>
          </c:val>
          <c:smooth val="0"/>
          <c:extLst>
            <c:ext xmlns:c16="http://schemas.microsoft.com/office/drawing/2014/chart" uri="{C3380CC4-5D6E-409C-BE32-E72D297353CC}">
              <c16:uniqueId val="{00000002-7763-AF4A-94E8-8CEF1C6C72A3}"/>
            </c:ext>
          </c:extLst>
        </c:ser>
        <c:ser>
          <c:idx val="4"/>
          <c:order val="3"/>
          <c:tx>
            <c:strRef>
              <c:f>'AZA CyclesNbr'!$G$10</c:f>
              <c:strCache>
                <c:ptCount val="1"/>
                <c:pt idx="0">
                  <c:v>déc-19</c:v>
                </c:pt>
              </c:strCache>
            </c:strRef>
          </c:tx>
          <c:spPr>
            <a:ln w="38100">
              <a:solidFill>
                <a:srgbClr val="7E0021"/>
              </a:solidFill>
              <a:prstDash val="solid"/>
            </a:ln>
          </c:spPr>
          <c:marker>
            <c:symbol val="dot"/>
            <c:size val="6"/>
            <c:spPr>
              <a:noFill/>
              <a:ln>
                <a:solidFill>
                  <a:srgbClr val="7E0021"/>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CyclesNbr'!$G$11:$G$18</c:f>
              <c:numCache>
                <c:formatCode>0</c:formatCode>
                <c:ptCount val="8"/>
                <c:pt idx="0">
                  <c:v>884.36073426102473</c:v>
                </c:pt>
                <c:pt idx="1">
                  <c:v>505.99716255939603</c:v>
                </c:pt>
                <c:pt idx="2">
                  <c:v>398.51526043380102</c:v>
                </c:pt>
                <c:pt idx="3">
                  <c:v>348.03230334894533</c:v>
                </c:pt>
                <c:pt idx="4">
                  <c:v>308.3176886906316</c:v>
                </c:pt>
                <c:pt idx="5" formatCode="General">
                  <c:v>250</c:v>
                </c:pt>
              </c:numCache>
            </c:numRef>
          </c:val>
          <c:smooth val="0"/>
          <c:extLst>
            <c:ext xmlns:c16="http://schemas.microsoft.com/office/drawing/2014/chart" uri="{C3380CC4-5D6E-409C-BE32-E72D297353CC}">
              <c16:uniqueId val="{00000003-7763-AF4A-94E8-8CEF1C6C72A3}"/>
            </c:ext>
          </c:extLst>
        </c:ser>
        <c:ser>
          <c:idx val="5"/>
          <c:order val="4"/>
          <c:tx>
            <c:strRef>
              <c:f>'AZA CyclesNbr'!$H$10</c:f>
              <c:strCache>
                <c:ptCount val="1"/>
                <c:pt idx="0">
                  <c:v>mai-20</c:v>
                </c:pt>
              </c:strCache>
            </c:strRef>
          </c:tx>
          <c:spPr>
            <a:ln w="38100">
              <a:solidFill>
                <a:srgbClr val="FF0000"/>
              </a:solidFill>
              <a:prstDash val="solid"/>
            </a:ln>
          </c:spPr>
          <c:marker>
            <c:symbol val="plus"/>
            <c:size val="6"/>
            <c:spPr>
              <a:noFill/>
              <a:ln>
                <a:solidFill>
                  <a:srgbClr val="FF0000"/>
                </a:solidFill>
                <a:prstDash val="solid"/>
              </a:ln>
            </c:spPr>
          </c:marker>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CyclesNbr'!$H$11:$H$18</c:f>
              <c:numCache>
                <c:formatCode>0</c:formatCode>
                <c:ptCount val="8"/>
                <c:pt idx="0">
                  <c:v>1109.569472067845</c:v>
                </c:pt>
                <c:pt idx="1">
                  <c:v>634.85293136402902</c:v>
                </c:pt>
                <c:pt idx="2">
                  <c:v>500</c:v>
                </c:pt>
                <c:pt idx="3">
                  <c:v>436.66119958630588</c:v>
                </c:pt>
                <c:pt idx="4">
                  <c:v>386.83297642731986</c:v>
                </c:pt>
                <c:pt idx="5">
                  <c:v>313.66427439674982</c:v>
                </c:pt>
              </c:numCache>
            </c:numRef>
          </c:val>
          <c:smooth val="0"/>
          <c:extLst>
            <c:ext xmlns:c16="http://schemas.microsoft.com/office/drawing/2014/chart" uri="{C3380CC4-5D6E-409C-BE32-E72D297353CC}">
              <c16:uniqueId val="{00000004-7763-AF4A-94E8-8CEF1C6C72A3}"/>
            </c:ext>
          </c:extLst>
        </c:ser>
        <c:ser>
          <c:idx val="6"/>
          <c:order val="5"/>
          <c:tx>
            <c:strRef>
              <c:f>'AZA CyclesNbr'!$I$10</c:f>
              <c:strCache>
                <c:ptCount val="1"/>
                <c:pt idx="0">
                  <c:v>déc-20</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CyclesNbr'!$I$11:$I$18</c:f>
              <c:numCache>
                <c:formatCode>0</c:formatCode>
                <c:ptCount val="8"/>
                <c:pt idx="0">
                  <c:v>1109.569472067845</c:v>
                </c:pt>
                <c:pt idx="1">
                  <c:v>634.85293136402902</c:v>
                </c:pt>
                <c:pt idx="2">
                  <c:v>500</c:v>
                </c:pt>
                <c:pt idx="3">
                  <c:v>436.66119958630588</c:v>
                </c:pt>
                <c:pt idx="4">
                  <c:v>386.83297642731986</c:v>
                </c:pt>
                <c:pt idx="5">
                  <c:v>313.66427439674982</c:v>
                </c:pt>
                <c:pt idx="6" formatCode="General">
                  <c:v>240</c:v>
                </c:pt>
              </c:numCache>
            </c:numRef>
          </c:val>
          <c:smooth val="0"/>
          <c:extLst>
            <c:ext xmlns:c16="http://schemas.microsoft.com/office/drawing/2014/chart" uri="{C3380CC4-5D6E-409C-BE32-E72D297353CC}">
              <c16:uniqueId val="{00000005-7763-AF4A-94E8-8CEF1C6C72A3}"/>
            </c:ext>
          </c:extLst>
        </c:ser>
        <c:ser>
          <c:idx val="7"/>
          <c:order val="6"/>
          <c:tx>
            <c:strRef>
              <c:f>'AZA CyclesNbr'!$J$10</c:f>
              <c:strCache>
                <c:ptCount val="1"/>
                <c:pt idx="0">
                  <c:v>déc-21</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CyclesNbr'!$J$11:$J$18</c:f>
              <c:numCache>
                <c:formatCode>0</c:formatCode>
                <c:ptCount val="8"/>
                <c:pt idx="0">
                  <c:v>1737.4789611936278</c:v>
                </c:pt>
                <c:pt idx="1">
                  <c:v>994.11856532193474</c:v>
                </c:pt>
                <c:pt idx="2">
                  <c:v>782.95185877617098</c:v>
                </c:pt>
                <c:pt idx="3">
                  <c:v>683.76939574306152</c:v>
                </c:pt>
                <c:pt idx="4">
                  <c:v>605.74319585937758</c:v>
                </c:pt>
                <c:pt idx="5">
                  <c:v>491.16805334122841</c:v>
                </c:pt>
                <c:pt idx="6" formatCode="General">
                  <c:v>380</c:v>
                </c:pt>
              </c:numCache>
            </c:numRef>
          </c:val>
          <c:smooth val="0"/>
          <c:extLst>
            <c:ext xmlns:c16="http://schemas.microsoft.com/office/drawing/2014/chart" uri="{C3380CC4-5D6E-409C-BE32-E72D297353CC}">
              <c16:uniqueId val="{00000006-7763-AF4A-94E8-8CEF1C6C72A3}"/>
            </c:ext>
          </c:extLst>
        </c:ser>
        <c:ser>
          <c:idx val="8"/>
          <c:order val="7"/>
          <c:tx>
            <c:strRef>
              <c:f>'AZA CyclesNbr'!$K$10</c:f>
              <c:strCache>
                <c:ptCount val="1"/>
                <c:pt idx="0">
                  <c:v>déc-22</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CyclesNbr'!$K$11:$K$18</c:f>
              <c:numCache>
                <c:formatCode>0</c:formatCode>
                <c:ptCount val="8"/>
                <c:pt idx="0">
                  <c:v>2286.1565278863518</c:v>
                </c:pt>
                <c:pt idx="1">
                  <c:v>1308.0507438446507</c:v>
                </c:pt>
                <c:pt idx="2">
                  <c:v>1030.1998141791721</c:v>
                </c:pt>
                <c:pt idx="3">
                  <c:v>899.6965733461335</c:v>
                </c:pt>
                <c:pt idx="4">
                  <c:v>797.03052086760204</c:v>
                </c:pt>
                <c:pt idx="5">
                  <c:v>646.27375439635318</c:v>
                </c:pt>
                <c:pt idx="6" formatCode="General">
                  <c:v>500</c:v>
                </c:pt>
              </c:numCache>
            </c:numRef>
          </c:val>
          <c:smooth val="0"/>
          <c:extLst>
            <c:ext xmlns:c16="http://schemas.microsoft.com/office/drawing/2014/chart" uri="{C3380CC4-5D6E-409C-BE32-E72D297353CC}">
              <c16:uniqueId val="{00000007-7763-AF4A-94E8-8CEF1C6C72A3}"/>
            </c:ext>
          </c:extLst>
        </c:ser>
        <c:ser>
          <c:idx val="9"/>
          <c:order val="8"/>
          <c:tx>
            <c:strRef>
              <c:f>'AZA CyclesNbr'!$L$10</c:f>
              <c:strCache>
                <c:ptCount val="1"/>
                <c:pt idx="0">
                  <c:v>déc-23</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CyclesNbr'!$L$11:$L$18</c:f>
              <c:numCache>
                <c:formatCode>0</c:formatCode>
                <c:ptCount val="8"/>
                <c:pt idx="0">
                  <c:v>2972.0034862522575</c:v>
                </c:pt>
                <c:pt idx="1">
                  <c:v>1700.4659669980458</c:v>
                </c:pt>
                <c:pt idx="2">
                  <c:v>1339.2597584329237</c:v>
                </c:pt>
                <c:pt idx="3">
                  <c:v>1169.6055453499735</c:v>
                </c:pt>
                <c:pt idx="4">
                  <c:v>1036.1396771278826</c:v>
                </c:pt>
                <c:pt idx="5">
                  <c:v>840.15588071525906</c:v>
                </c:pt>
                <c:pt idx="6" formatCode="General">
                  <c:v>650</c:v>
                </c:pt>
              </c:numCache>
            </c:numRef>
          </c:val>
          <c:smooth val="0"/>
          <c:extLst>
            <c:ext xmlns:c16="http://schemas.microsoft.com/office/drawing/2014/chart" uri="{C3380CC4-5D6E-409C-BE32-E72D297353CC}">
              <c16:uniqueId val="{00000008-7763-AF4A-94E8-8CEF1C6C72A3}"/>
            </c:ext>
          </c:extLst>
        </c:ser>
        <c:ser>
          <c:idx val="10"/>
          <c:order val="9"/>
          <c:tx>
            <c:strRef>
              <c:f>'AZA CyclesNbr'!$M$10</c:f>
              <c:strCache>
                <c:ptCount val="1"/>
                <c:pt idx="0">
                  <c:v>déc-24</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CyclesNbr'!$M$11:$M$18</c:f>
              <c:numCache>
                <c:formatCode>0</c:formatCode>
                <c:ptCount val="8"/>
                <c:pt idx="0">
                  <c:v>3749.2967057336182</c:v>
                </c:pt>
                <c:pt idx="1">
                  <c:v>2145.2032199052278</c:v>
                </c:pt>
                <c:pt idx="2">
                  <c:v>1689.5276952538427</c:v>
                </c:pt>
                <c:pt idx="3">
                  <c:v>1475.5023802876592</c:v>
                </c:pt>
                <c:pt idx="4">
                  <c:v>1307.1300542228676</c:v>
                </c:pt>
                <c:pt idx="5">
                  <c:v>1059.8889572100193</c:v>
                </c:pt>
                <c:pt idx="6" formatCode="General">
                  <c:v>820</c:v>
                </c:pt>
              </c:numCache>
            </c:numRef>
          </c:val>
          <c:smooth val="0"/>
          <c:extLst>
            <c:ext xmlns:c16="http://schemas.microsoft.com/office/drawing/2014/chart" uri="{C3380CC4-5D6E-409C-BE32-E72D297353CC}">
              <c16:uniqueId val="{00000009-7763-AF4A-94E8-8CEF1C6C72A3}"/>
            </c:ext>
          </c:extLst>
        </c:ser>
        <c:ser>
          <c:idx val="11"/>
          <c:order val="10"/>
          <c:tx>
            <c:strRef>
              <c:f>'AZA CyclesNbr'!$N$10</c:f>
              <c:strCache>
                <c:ptCount val="1"/>
                <c:pt idx="0">
                  <c:v>déc-25</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CyclesNbr'!$N$11:$N$18</c:f>
              <c:numCache>
                <c:formatCode>0</c:formatCode>
                <c:ptCount val="8"/>
                <c:pt idx="0">
                  <c:v>4572.3130557727036</c:v>
                </c:pt>
                <c:pt idx="1">
                  <c:v>2616.1014876893014</c:v>
                </c:pt>
                <c:pt idx="2">
                  <c:v>2060.3996283583442</c:v>
                </c:pt>
                <c:pt idx="3">
                  <c:v>1799.393146692267</c:v>
                </c:pt>
                <c:pt idx="4">
                  <c:v>1594.0610417352041</c:v>
                </c:pt>
                <c:pt idx="5">
                  <c:v>1292.5475087927064</c:v>
                </c:pt>
                <c:pt idx="6" formatCode="General">
                  <c:v>1000</c:v>
                </c:pt>
              </c:numCache>
            </c:numRef>
          </c:val>
          <c:smooth val="0"/>
          <c:extLst>
            <c:ext xmlns:c16="http://schemas.microsoft.com/office/drawing/2014/chart" uri="{C3380CC4-5D6E-409C-BE32-E72D297353CC}">
              <c16:uniqueId val="{0000000A-7763-AF4A-94E8-8CEF1C6C72A3}"/>
            </c:ext>
          </c:extLst>
        </c:ser>
        <c:ser>
          <c:idx val="12"/>
          <c:order val="11"/>
          <c:tx>
            <c:strRef>
              <c:f>'AZA CyclesNbr'!$O$10</c:f>
              <c:strCache>
                <c:ptCount val="1"/>
                <c:pt idx="0">
                  <c:v>déc-26</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CyclesNbr'!$O$11:$O$18</c:f>
              <c:numCache>
                <c:formatCode>0</c:formatCode>
                <c:ptCount val="8"/>
                <c:pt idx="0">
                  <c:v>5486.7756669272439</c:v>
                </c:pt>
                <c:pt idx="1">
                  <c:v>3139.3217852271614</c:v>
                </c:pt>
                <c:pt idx="2">
                  <c:v>2472.4795540300129</c:v>
                </c:pt>
                <c:pt idx="3">
                  <c:v>2159.27177603072</c:v>
                </c:pt>
                <c:pt idx="4">
                  <c:v>1912.8732500822448</c:v>
                </c:pt>
                <c:pt idx="5">
                  <c:v>1551.0570105512475</c:v>
                </c:pt>
                <c:pt idx="6" formatCode="General">
                  <c:v>1200</c:v>
                </c:pt>
              </c:numCache>
            </c:numRef>
          </c:val>
          <c:smooth val="0"/>
          <c:extLst>
            <c:ext xmlns:c16="http://schemas.microsoft.com/office/drawing/2014/chart" uri="{C3380CC4-5D6E-409C-BE32-E72D297353CC}">
              <c16:uniqueId val="{0000000B-7763-AF4A-94E8-8CEF1C6C72A3}"/>
            </c:ext>
          </c:extLst>
        </c:ser>
        <c:ser>
          <c:idx val="13"/>
          <c:order val="12"/>
          <c:tx>
            <c:strRef>
              <c:f>'AZA CyclesNbr'!$P$10</c:f>
              <c:strCache>
                <c:ptCount val="1"/>
                <c:pt idx="0">
                  <c:v>déc-27</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CyclesNbr'!$P$11:$P$18</c:f>
              <c:numCache>
                <c:formatCode>0</c:formatCode>
                <c:ptCount val="8"/>
                <c:pt idx="1">
                  <c:v>3662.5420827650214</c:v>
                </c:pt>
                <c:pt idx="2">
                  <c:v>2884.5594797016815</c:v>
                </c:pt>
                <c:pt idx="3">
                  <c:v>2519.1504053691733</c:v>
                </c:pt>
                <c:pt idx="4">
                  <c:v>2231.6854584292855</c:v>
                </c:pt>
                <c:pt idx="5">
                  <c:v>1809.5665123097888</c:v>
                </c:pt>
                <c:pt idx="6" formatCode="General">
                  <c:v>1400</c:v>
                </c:pt>
              </c:numCache>
            </c:numRef>
          </c:val>
          <c:smooth val="0"/>
          <c:extLst>
            <c:ext xmlns:c16="http://schemas.microsoft.com/office/drawing/2014/chart" uri="{C3380CC4-5D6E-409C-BE32-E72D297353CC}">
              <c16:uniqueId val="{0000000C-7763-AF4A-94E8-8CEF1C6C72A3}"/>
            </c:ext>
          </c:extLst>
        </c:ser>
        <c:ser>
          <c:idx val="14"/>
          <c:order val="13"/>
          <c:tx>
            <c:strRef>
              <c:f>'AZA CyclesNbr'!$Q$10</c:f>
              <c:strCache>
                <c:ptCount val="1"/>
                <c:pt idx="0">
                  <c:v>déc-28</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CyclesNbr'!$Q$11:$Q$18</c:f>
              <c:numCache>
                <c:formatCode>0</c:formatCode>
                <c:ptCount val="8"/>
                <c:pt idx="1">
                  <c:v>4185.7623803028828</c:v>
                </c:pt>
                <c:pt idx="2">
                  <c:v>3296.6394053733516</c:v>
                </c:pt>
                <c:pt idx="3">
                  <c:v>2879.0290347076275</c:v>
                </c:pt>
                <c:pt idx="4">
                  <c:v>2550.4976667763267</c:v>
                </c:pt>
                <c:pt idx="5">
                  <c:v>2068.0760140683301</c:v>
                </c:pt>
                <c:pt idx="6" formatCode="General">
                  <c:v>1600</c:v>
                </c:pt>
              </c:numCache>
            </c:numRef>
          </c:val>
          <c:smooth val="0"/>
          <c:extLst>
            <c:ext xmlns:c16="http://schemas.microsoft.com/office/drawing/2014/chart" uri="{C3380CC4-5D6E-409C-BE32-E72D297353CC}">
              <c16:uniqueId val="{0000000D-7763-AF4A-94E8-8CEF1C6C72A3}"/>
            </c:ext>
          </c:extLst>
        </c:ser>
        <c:ser>
          <c:idx val="15"/>
          <c:order val="14"/>
          <c:tx>
            <c:strRef>
              <c:f>'AZA CyclesNbr'!$R$10</c:f>
              <c:strCache>
                <c:ptCount val="1"/>
                <c:pt idx="0">
                  <c:v>déc-29</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CyclesNbr'!$R$11:$R$18</c:f>
              <c:numCache>
                <c:formatCode>0</c:formatCode>
                <c:ptCount val="8"/>
                <c:pt idx="1">
                  <c:v>4708.9826778407432</c:v>
                </c:pt>
                <c:pt idx="2">
                  <c:v>3708.7193310450202</c:v>
                </c:pt>
                <c:pt idx="3">
                  <c:v>3238.9076640460808</c:v>
                </c:pt>
                <c:pt idx="4">
                  <c:v>2869.3098751233674</c:v>
                </c:pt>
                <c:pt idx="5">
                  <c:v>2326.5855158268714</c:v>
                </c:pt>
                <c:pt idx="6" formatCode="General">
                  <c:v>1800</c:v>
                </c:pt>
              </c:numCache>
            </c:numRef>
          </c:val>
          <c:smooth val="0"/>
          <c:extLst>
            <c:ext xmlns:c16="http://schemas.microsoft.com/office/drawing/2014/chart" uri="{C3380CC4-5D6E-409C-BE32-E72D297353CC}">
              <c16:uniqueId val="{0000000E-7763-AF4A-94E8-8CEF1C6C72A3}"/>
            </c:ext>
          </c:extLst>
        </c:ser>
        <c:ser>
          <c:idx val="0"/>
          <c:order val="15"/>
          <c:tx>
            <c:strRef>
              <c:f>'AZA CyclesNbr'!$S$10</c:f>
              <c:strCache>
                <c:ptCount val="1"/>
                <c:pt idx="0">
                  <c:v>LT Goal</c:v>
                </c:pt>
              </c:strCache>
            </c:strRef>
          </c:tx>
          <c:cat>
            <c:numRef>
              <c:f>'AZA CyclesNbr'!$C$11:$C$18</c:f>
              <c:numCache>
                <c:formatCode>General</c:formatCode>
                <c:ptCount val="8"/>
                <c:pt idx="0">
                  <c:v>40</c:v>
                </c:pt>
                <c:pt idx="1">
                  <c:v>65</c:v>
                </c:pt>
                <c:pt idx="2">
                  <c:v>80</c:v>
                </c:pt>
                <c:pt idx="3">
                  <c:v>90</c:v>
                </c:pt>
                <c:pt idx="4">
                  <c:v>100</c:v>
                </c:pt>
                <c:pt idx="5">
                  <c:v>120</c:v>
                </c:pt>
                <c:pt idx="6">
                  <c:v>150</c:v>
                </c:pt>
                <c:pt idx="7">
                  <c:v>200</c:v>
                </c:pt>
              </c:numCache>
            </c:numRef>
          </c:cat>
          <c:val>
            <c:numRef>
              <c:f>'AZA CyclesNbr'!$S$11:$S$18</c:f>
              <c:numCache>
                <c:formatCode>0</c:formatCode>
                <c:ptCount val="8"/>
                <c:pt idx="1">
                  <c:v>5009.9755317889312</c:v>
                </c:pt>
                <c:pt idx="2">
                  <c:v>5009.9755317889312</c:v>
                </c:pt>
                <c:pt idx="3">
                  <c:v>5009.9755317889312</c:v>
                </c:pt>
                <c:pt idx="4">
                  <c:v>4438.2778882713792</c:v>
                </c:pt>
                <c:pt idx="5">
                  <c:v>3598.786293384534</c:v>
                </c:pt>
                <c:pt idx="6">
                  <c:v>2784.2584267915627</c:v>
                </c:pt>
                <c:pt idx="7" formatCode="General">
                  <c:v>2000</c:v>
                </c:pt>
              </c:numCache>
            </c:numRef>
          </c:val>
          <c:smooth val="0"/>
          <c:extLst>
            <c:ext xmlns:c16="http://schemas.microsoft.com/office/drawing/2014/chart" uri="{C3380CC4-5D6E-409C-BE32-E72D297353CC}">
              <c16:uniqueId val="{0000000F-7763-AF4A-94E8-8CEF1C6C72A3}"/>
            </c:ext>
          </c:extLst>
        </c:ser>
        <c:dLbls>
          <c:showLegendKey val="0"/>
          <c:showVal val="0"/>
          <c:showCatName val="0"/>
          <c:showSerName val="0"/>
          <c:showPercent val="0"/>
          <c:showBubbleSize val="0"/>
        </c:dLbls>
        <c:marker val="1"/>
        <c:smooth val="0"/>
        <c:axId val="160082176"/>
        <c:axId val="160092544"/>
      </c:lineChart>
      <c:catAx>
        <c:axId val="160082176"/>
        <c:scaling>
          <c:orientation val="minMax"/>
        </c:scaling>
        <c:delete val="0"/>
        <c:axPos val="b"/>
        <c:title>
          <c:tx>
            <c:rich>
              <a:bodyPr/>
              <a:lstStyle/>
              <a:p>
                <a:pPr>
                  <a:defRPr sz="1000" b="1" i="0" u="none" strike="noStrike" baseline="0">
                    <a:solidFill>
                      <a:srgbClr val="2E3436"/>
                    </a:solidFill>
                    <a:latin typeface="Arial"/>
                    <a:ea typeface="Arial"/>
                    <a:cs typeface="Arial"/>
                  </a:defRPr>
                </a:pPr>
                <a:r>
                  <a:rPr lang="en-US" sz="1000" b="1"/>
                  <a:t>Wh/kg</a:t>
                </a:r>
              </a:p>
            </c:rich>
          </c:tx>
          <c:layout>
            <c:manualLayout>
              <c:xMode val="edge"/>
              <c:yMode val="edge"/>
              <c:x val="0.38075024013830461"/>
              <c:y val="0.93101349713316817"/>
            </c:manualLayout>
          </c:layout>
          <c:overlay val="0"/>
          <c:spPr>
            <a:noFill/>
            <a:ln w="25400">
              <a:noFill/>
            </a:ln>
          </c:spPr>
        </c:title>
        <c:numFmt formatCode="General" sourceLinked="1"/>
        <c:majorTickMark val="out"/>
        <c:minorTickMark val="none"/>
        <c:tickLblPos val="nextTo"/>
        <c:spPr>
          <a:ln w="3175">
            <a:solidFill>
              <a:srgbClr val="B3B3B3"/>
            </a:solidFill>
            <a:prstDash val="solid"/>
          </a:ln>
        </c:spPr>
        <c:txPr>
          <a:bodyPr rot="0" vert="horz"/>
          <a:lstStyle/>
          <a:p>
            <a:pPr>
              <a:defRPr sz="1000" b="0" i="0" u="none" strike="noStrike" baseline="0">
                <a:solidFill>
                  <a:srgbClr val="2E3436"/>
                </a:solidFill>
                <a:latin typeface="Arial"/>
                <a:ea typeface="Arial"/>
                <a:cs typeface="Arial"/>
              </a:defRPr>
            </a:pPr>
            <a:endParaRPr lang="fr-FR"/>
          </a:p>
        </c:txPr>
        <c:crossAx val="160092544"/>
        <c:crossesAt val="0"/>
        <c:auto val="1"/>
        <c:lblAlgn val="ctr"/>
        <c:lblOffset val="100"/>
        <c:tickLblSkip val="1"/>
        <c:tickMarkSkip val="1"/>
        <c:noMultiLvlLbl val="0"/>
      </c:catAx>
      <c:valAx>
        <c:axId val="160092544"/>
        <c:scaling>
          <c:logBase val="2"/>
          <c:orientation val="minMax"/>
          <c:max val="6400"/>
          <c:min val="100"/>
        </c:scaling>
        <c:delete val="0"/>
        <c:axPos val="l"/>
        <c:majorGridlines>
          <c:spPr>
            <a:ln w="3175">
              <a:solidFill>
                <a:srgbClr val="B3B3B3"/>
              </a:solidFill>
              <a:prstDash val="solid"/>
            </a:ln>
          </c:spPr>
        </c:majorGridlines>
        <c:numFmt formatCode="General" sourceLinked="0"/>
        <c:majorTickMark val="out"/>
        <c:minorTickMark val="none"/>
        <c:tickLblPos val="nextTo"/>
        <c:spPr>
          <a:ln w="3175">
            <a:solidFill>
              <a:srgbClr val="B3B3B3"/>
            </a:solidFill>
            <a:prstDash val="solid"/>
          </a:ln>
        </c:spPr>
        <c:txPr>
          <a:bodyPr rot="0" vert="horz"/>
          <a:lstStyle/>
          <a:p>
            <a:pPr>
              <a:defRPr sz="1000" b="0" i="0" u="none" strike="noStrike" baseline="0">
                <a:solidFill>
                  <a:srgbClr val="2E3436"/>
                </a:solidFill>
                <a:latin typeface="Arial"/>
                <a:ea typeface="Arial"/>
                <a:cs typeface="Arial"/>
              </a:defRPr>
            </a:pPr>
            <a:endParaRPr lang="fr-FR"/>
          </a:p>
        </c:txPr>
        <c:crossAx val="160082176"/>
        <c:crossesAt val="1"/>
        <c:crossBetween val="midCat"/>
      </c:valAx>
      <c:spPr>
        <a:noFill/>
        <a:ln w="3175">
          <a:solidFill>
            <a:srgbClr val="B3B3B3"/>
          </a:solidFill>
          <a:prstDash val="solid"/>
        </a:ln>
      </c:spPr>
    </c:plotArea>
    <c:legend>
      <c:legendPos val="r"/>
      <c:layout>
        <c:manualLayout>
          <c:xMode val="edge"/>
          <c:yMode val="edge"/>
          <c:x val="0.78796854077751188"/>
          <c:y val="2.9905435005343935E-2"/>
          <c:w val="0.18671700811254072"/>
          <c:h val="0.88990072272233378"/>
        </c:manualLayout>
      </c:layout>
      <c:overlay val="0"/>
      <c:spPr>
        <a:noFill/>
        <a:ln w="25400">
          <a:noFill/>
        </a:ln>
      </c:spPr>
      <c:txPr>
        <a:bodyPr/>
        <a:lstStyle/>
        <a:p>
          <a:pPr>
            <a:defRPr sz="710" b="0" i="0" u="none" strike="noStrike" baseline="0">
              <a:solidFill>
                <a:srgbClr val="2E3436"/>
              </a:solidFill>
              <a:latin typeface="Arial"/>
              <a:ea typeface="Arial"/>
              <a:cs typeface="Arial"/>
            </a:defRPr>
          </a:pPr>
          <a:endParaRPr lang="fr-FR"/>
        </a:p>
      </c:txPr>
    </c:legend>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1" l="0.75" r="0.75" t="1" header="0.51180555555555551" footer="0.51180555555555551"/>
    <c:pageSetup firstPageNumber="0"/>
  </c:printSettings>
</c:chartSpace>
</file>

<file path=xl/ctrlProps/ctrlProp1.xml><?xml version="1.0" encoding="utf-8"?>
<formControlPr xmlns="http://schemas.microsoft.com/office/spreadsheetml/2009/9/main" objectType="Drop" dropLines="2" dropStyle="combo" dx="16" fmlaLink="'DropDown menus'!$U$10" fmlaRange="'DropDown menus'!$V$11:$V$12" noThreeD="1" sel="2" val="0"/>
</file>

<file path=xl/ctrlProps/ctrlProp2.xml><?xml version="1.0" encoding="utf-8"?>
<formControlPr xmlns="http://schemas.microsoft.com/office/spreadsheetml/2009/9/main" objectType="Drop" dropLines="2" dropStyle="combo" dx="16" fmlaLink="'DropDown menus'!$AR$10" fmlaRange="'DropDown menus'!AS$11:$AS$12" noThreeD="1" sel="1" val="0"/>
</file>

<file path=xl/ctrlProps/ctrlProp3.xml><?xml version="1.0" encoding="utf-8"?>
<formControlPr xmlns="http://schemas.microsoft.com/office/spreadsheetml/2009/9/main" objectType="Drop" dropLines="4" dropStyle="combo" dx="16" fmlaLink="'DropDown menus'!$AU$10" fmlaRange="'DropDown menus'!AV$11:$AV$14" noThreeD="1" sel="3" val="0"/>
</file>

<file path=xl/ctrlProps/ctrlProp4.xml><?xml version="1.0" encoding="utf-8"?>
<formControlPr xmlns="http://schemas.microsoft.com/office/spreadsheetml/2009/9/main" objectType="Drop" dropLines="2" dropStyle="combo" dx="16" fmlaLink="'DropDown menus'!$U$10" fmlaRange="'DropDown menus'!$V$11:$V$12" noThreeD="1" sel="2" val="0"/>
</file>

<file path=xl/ctrlProps/ctrlProp5.xml><?xml version="1.0" encoding="utf-8"?>
<formControlPr xmlns="http://schemas.microsoft.com/office/spreadsheetml/2009/9/main" objectType="Drop" dropLines="3" dropStyle="combo" dx="16" fmlaLink="'DropDown menus'!$AF$10" fmlaRange="'DropDown menus'!$AF$11:$AF$13" noThreeD="1" sel="2" val="0"/>
</file>

<file path=xl/ctrlProps/ctrlProp6.xml><?xml version="1.0" encoding="utf-8"?>
<formControlPr xmlns="http://schemas.microsoft.com/office/spreadsheetml/2009/9/main" objectType="Drop" dropLines="3" dropStyle="combo" dx="16" fmlaLink="'DropDown menus'!$AI$10" fmlaRange="'DropDown menus'!$AI$11:$AI$13" noThreeD="1" sel="2" val="0"/>
</file>

<file path=xl/ctrlProps/ctrlProp7.xml><?xml version="1.0" encoding="utf-8"?>
<formControlPr xmlns="http://schemas.microsoft.com/office/spreadsheetml/2009/9/main" objectType="Drop" dropLines="5" dropStyle="combo" dx="16" fmlaLink="'DropDown menus'!$L$10" fmlaRange="'DropDown menus'!$L$11:$L$15" noThreeD="1" sel="3" val="0"/>
</file>

<file path=xl/ctrlProps/ctrlProp8.xml><?xml version="1.0" encoding="utf-8"?>
<formControlPr xmlns="http://schemas.microsoft.com/office/spreadsheetml/2009/9/main" objectType="Drop" dropLines="7" dropStyle="combo" dx="16" fmlaLink="'DropDown menus'!$F$10" fmlaRange="'DropDown menus'!$F$11:$F$19" noThreeD="1" sel="7" val="2"/>
</file>

<file path=xl/ctrlProps/ctrlProp9.xml><?xml version="1.0" encoding="utf-8"?>
<formControlPr xmlns="http://schemas.microsoft.com/office/spreadsheetml/2009/9/main" objectType="Drop" dropLines="7" dropStyle="combo" dx="16" fmlaLink="'DropDown menus'!I$10" fmlaRange="'DropDown menus'!$I$11:$I$17" noThreeD="1" sel="4" val="0"/>
</file>

<file path=xl/ctrlProps/ctrlProp10.xml><?xml version="1.0" encoding="utf-8"?>
<formControlPr xmlns="http://schemas.microsoft.com/office/spreadsheetml/2009/9/main" objectType="Drop" dropLines="5" dropStyle="combo" dx="16" fmlaLink="'DropDown menus'!$C$10" fmlaRange="'DropDown menus'!$C$11:$C$15" noThreeD="1" sel="3"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Lines="5" dropStyle="combo" dx="16" fmlaLink="'DropDown menus'!$AO$10" fmlaRange="'DropDown menus'!$AO$11:$AO$15" noThreeD="1" sel="3" val="0"/>
</file>

<file path=xl/ctrlProps/ctrlProp13.xml><?xml version="1.0" encoding="utf-8"?>
<formControlPr xmlns="http://schemas.microsoft.com/office/spreadsheetml/2009/9/main" objectType="Drop" dropLines="5" dropStyle="combo" dx="16" fmlaLink="'DropDown menus'!$X$10" fmlaRange="'DropDown menus'!$X$11:$X$15" noThreeD="1" sel="3" val="0"/>
</file>

<file path=xl/ctrlProps/ctrlProp14.xml><?xml version="1.0" encoding="utf-8"?>
<formControlPr xmlns="http://schemas.microsoft.com/office/spreadsheetml/2009/9/main" objectType="Drop" dropLines="2" dropStyle="combo" dx="16" fmlaLink="'DropDown menus'!$AR$10" fmlaRange="'DropDown menus'!AS$11:$AS$12" noThreeD="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Drop" dropLines="3" dropStyle="combo" dx="16" fmlaLink="'DropDown menus'!$AF$10" fmlaRange="'DropDown menus'!$AF$11:$AF$13" noThreeD="1" sel="2" val="0"/>
</file>

<file path=xl/ctrlProps/ctrlProp18.xml><?xml version="1.0" encoding="utf-8"?>
<formControlPr xmlns="http://schemas.microsoft.com/office/spreadsheetml/2009/9/main" objectType="Drop" dropLines="3" dropStyle="combo" dx="16" fmlaLink="'DropDown menus'!$AI$10" fmlaRange="'DropDown menus'!$AI$11:$AI$13" noThreeD="1" sel="2" val="0"/>
</file>

<file path=xl/ctrlProps/ctrlProp19.xml><?xml version="1.0" encoding="utf-8"?>
<formControlPr xmlns="http://schemas.microsoft.com/office/spreadsheetml/2009/9/main" objectType="Drop" dropLines="5" dropStyle="combo" dx="16" fmlaLink="'DropDown menus'!$O$10" fmlaRange="'DropDown menus'!$O$11:$O$15" noThreeD="1" sel="3" val="0"/>
</file>

<file path=xl/ctrlProps/ctrlProp20.xml><?xml version="1.0" encoding="utf-8"?>
<formControlPr xmlns="http://schemas.microsoft.com/office/spreadsheetml/2009/9/main" objectType="Drop" dropLines="5" dropStyle="combo" dx="16" fmlaLink="'DropDown menus'!$L$10" fmlaRange="'DropDown menus'!$L$11:$L$15" noThreeD="1" sel="3" val="0"/>
</file>

<file path=xl/ctrlProps/ctrlProp21.xml><?xml version="1.0" encoding="utf-8"?>
<formControlPr xmlns="http://schemas.microsoft.com/office/spreadsheetml/2009/9/main" objectType="Drop" dropLines="7" dropStyle="combo" dx="16" fmlaLink="'DropDown menus'!$F$10" fmlaRange="'DropDown menus'!$F$11:$F$19" noThreeD="1" sel="7" val="2"/>
</file>

<file path=xl/ctrlProps/ctrlProp22.xml><?xml version="1.0" encoding="utf-8"?>
<formControlPr xmlns="http://schemas.microsoft.com/office/spreadsheetml/2009/9/main" objectType="Drop" dropLines="7" dropStyle="combo" dx="16" fmlaLink="'DropDown menus'!I$10" fmlaRange="'DropDown menus'!$I$11:$I$17" noThreeD="1" sel="4" val="0"/>
</file>

<file path=xl/ctrlProps/ctrlProp23.xml><?xml version="1.0" encoding="utf-8"?>
<formControlPr xmlns="http://schemas.microsoft.com/office/spreadsheetml/2009/9/main" objectType="Drop" dropLines="5" dropStyle="combo" dx="16" fmlaLink="'DropDown menus'!$C$10" fmlaRange="'DropDown menus'!$C$11:$C$15" noThreeD="1" sel="3" val="0"/>
</file>

<file path=xl/ctrlProps/ctrlProp24.xml><?xml version="1.0" encoding="utf-8"?>
<formControlPr xmlns="http://schemas.microsoft.com/office/spreadsheetml/2009/9/main" objectType="Drop" dropLines="5" dropStyle="combo" dx="16" fmlaLink="'DropDown menus'!$AO$10" fmlaRange="'DropDown menus'!$AO$11:$AO$15" noThreeD="1" sel="3" val="0"/>
</file>

<file path=xl/ctrlProps/ctrlProp25.xml><?xml version="1.0" encoding="utf-8"?>
<formControlPr xmlns="http://schemas.microsoft.com/office/spreadsheetml/2009/9/main" objectType="Drop" dropLines="2" dropStyle="combo" dx="16" fmlaLink="'DropDown menus'!$AR$10" fmlaRange="'DropDown menus'!AS$11:$AS$12"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Lines="3" dropStyle="combo" dx="16" fmlaLink="'DropDown menus'!$AF$10" fmlaRange="'DropDown menus'!$AF$11:$AF$13" noThreeD="1" sel="2" val="0"/>
</file>

<file path=xl/ctrlProps/ctrlProp28.xml><?xml version="1.0" encoding="utf-8"?>
<formControlPr xmlns="http://schemas.microsoft.com/office/spreadsheetml/2009/9/main" objectType="Drop" dropLines="3" dropStyle="combo" dx="16" fmlaLink="'DropDown menus'!$AI$10" fmlaRange="'DropDown menus'!$AI$11:$AI$13" noThreeD="1" sel="2" val="0"/>
</file>

<file path=xl/ctrlProps/ctrlProp29.xml><?xml version="1.0" encoding="utf-8"?>
<formControlPr xmlns="http://schemas.microsoft.com/office/spreadsheetml/2009/9/main" objectType="Drop" dropLines="5" dropStyle="combo" dx="16" fmlaLink="'DropDown menus'!$O$10" fmlaRange="'DropDown menus'!$O$11:$O$15" noThreeD="1" sel="3" val="0"/>
</file>

<file path=xl/ctrlProps/ctrlProp30.xml><?xml version="1.0" encoding="utf-8"?>
<formControlPr xmlns="http://schemas.microsoft.com/office/spreadsheetml/2009/9/main" objectType="Drop" dropLines="5" dropStyle="combo" dx="16" fmlaLink="'DropDown menus'!$L$10" fmlaRange="'DropDown menus'!$L$11:$L$15" noThreeD="1" sel="3" val="0"/>
</file>

<file path=xl/ctrlProps/ctrlProp31.xml><?xml version="1.0" encoding="utf-8"?>
<formControlPr xmlns="http://schemas.microsoft.com/office/spreadsheetml/2009/9/main" objectType="Drop" dropLines="7" dropStyle="combo" dx="16" fmlaLink="'DropDown menus'!$F$10" fmlaRange="'DropDown menus'!$F$11:$F$19" noThreeD="1" sel="7" val="2"/>
</file>

<file path=xl/ctrlProps/ctrlProp32.xml><?xml version="1.0" encoding="utf-8"?>
<formControlPr xmlns="http://schemas.microsoft.com/office/spreadsheetml/2009/9/main" objectType="Drop" dropLines="7" dropStyle="combo" dx="16" fmlaLink="'DropDown menus'!I$10" fmlaRange="'DropDown menus'!$I$11:$I$17" noThreeD="1" sel="4" val="0"/>
</file>

<file path=xl/ctrlProps/ctrlProp33.xml><?xml version="1.0" encoding="utf-8"?>
<formControlPr xmlns="http://schemas.microsoft.com/office/spreadsheetml/2009/9/main" objectType="Drop" dropLines="5" dropStyle="combo" dx="16" fmlaLink="'DropDown menus'!$C$10" fmlaRange="'DropDown menus'!$C$11:$C$15" noThreeD="1" sel="3" val="0"/>
</file>

<file path=xl/ctrlProps/ctrlProp34.xml><?xml version="1.0" encoding="utf-8"?>
<formControlPr xmlns="http://schemas.microsoft.com/office/spreadsheetml/2009/9/main" objectType="Drop" dropLines="5" dropStyle="combo" dx="16" fmlaLink="'DropDown menus'!$AO$10" fmlaRange="'DropDown menus'!$AO$11:$AO$15" noThreeD="1" sel="3" val="0"/>
</file>

<file path=xl/ctrlProps/ctrlProp35.xml><?xml version="1.0" encoding="utf-8"?>
<formControlPr xmlns="http://schemas.microsoft.com/office/spreadsheetml/2009/9/main" objectType="Drop" dropLines="5" dropStyle="combo" dx="16" fmlaLink="'DropDown menus'!$X$10" fmlaRange="'DropDown menus'!$X$11:$X$15" noThreeD="1" sel="3" val="0"/>
</file>

<file path=xl/ctrlProps/ctrlProp36.xml><?xml version="1.0" encoding="utf-8"?>
<formControlPr xmlns="http://schemas.microsoft.com/office/spreadsheetml/2009/9/main" objectType="Drop" dropLines="2" dropStyle="combo" dx="16" fmlaLink="'DropDown menus'!$AR$10" fmlaRange="'DropDown menus'!AS$11:$AS$12" noThreeD="1" sel="1" val="0"/>
</file>

<file path=xl/ctrlProps/ctrlProp37.xml><?xml version="1.0" encoding="utf-8"?>
<formControlPr xmlns="http://schemas.microsoft.com/office/spreadsheetml/2009/9/main" objectType="Drop" dropLines="2" dropStyle="combo" dx="16" fmlaLink="'DropDown menus'!$U$10" fmlaRange="'DropDown menus'!$V$11:$V$12" noThreeD="1" sel="2" val="0"/>
</file>

<file path=xl/ctrlProps/ctrlProp38.xml><?xml version="1.0" encoding="utf-8"?>
<formControlPr xmlns="http://schemas.microsoft.com/office/spreadsheetml/2009/9/main" objectType="Drop" dropLines="5" dropStyle="combo" dx="16" fmlaLink="'DropDown menus'!$X$10" fmlaRange="'DropDown menus'!$X$11:$X$15" noThreeD="1" sel="3" val="0"/>
</file>

<file path=xl/ctrlProps/ctrlProp39.xml><?xml version="1.0" encoding="utf-8"?>
<formControlPr xmlns="http://schemas.microsoft.com/office/spreadsheetml/2009/9/main" objectType="Drop" dropLines="3" dropStyle="combo" dx="16" fmlaLink="'DropDown menus'!$AF$10" fmlaRange="'DropDown menus'!$AF$11:$AF$13" noThreeD="1" sel="2" val="0"/>
</file>

<file path=xl/ctrlProps/ctrlProp40.xml><?xml version="1.0" encoding="utf-8"?>
<formControlPr xmlns="http://schemas.microsoft.com/office/spreadsheetml/2009/9/main" objectType="Drop" dropLines="3" dropStyle="combo" dx="16" fmlaLink="'DropDown menus'!$AI$10" fmlaRange="'DropDown menus'!$AI$11:$AI$13" noThreeD="1" sel="2" val="0"/>
</file>

<file path=xl/ctrlProps/ctrlProp41.xml><?xml version="1.0" encoding="utf-8"?>
<formControlPr xmlns="http://schemas.microsoft.com/office/spreadsheetml/2009/9/main" objectType="Drop" dropLines="5" dropStyle="combo" dx="16" fmlaLink="'DropDown menus'!$O$10" fmlaRange="'DropDown menus'!$O$11:$O$15" noThreeD="1" sel="3" val="0"/>
</file>

<file path=xl/ctrlProps/ctrlProp42.xml><?xml version="1.0" encoding="utf-8"?>
<formControlPr xmlns="http://schemas.microsoft.com/office/spreadsheetml/2009/9/main" objectType="Drop" dropLines="5" dropStyle="combo" dx="16" fmlaLink="'DropDown menus'!$L$10" fmlaRange="'DropDown menus'!$L$11:$L$15" noThreeD="1" sel="3" val="0"/>
</file>

<file path=xl/ctrlProps/ctrlProp43.xml><?xml version="1.0" encoding="utf-8"?>
<formControlPr xmlns="http://schemas.microsoft.com/office/spreadsheetml/2009/9/main" objectType="Drop" dropLines="7" dropStyle="combo" dx="16" fmlaLink="'DropDown menus'!$F$10" fmlaRange="'DropDown menus'!$F$11:$F$19" noThreeD="1" sel="7" val="2"/>
</file>

<file path=xl/ctrlProps/ctrlProp44.xml><?xml version="1.0" encoding="utf-8"?>
<formControlPr xmlns="http://schemas.microsoft.com/office/spreadsheetml/2009/9/main" objectType="Drop" dropLines="7" dropStyle="combo" dx="16" fmlaLink="'DropDown menus'!I$10" fmlaRange="'DropDown menus'!$I$11:$I$17" noThreeD="1" sel="4" val="0"/>
</file>

<file path=xl/ctrlProps/ctrlProp45.xml><?xml version="1.0" encoding="utf-8"?>
<formControlPr xmlns="http://schemas.microsoft.com/office/spreadsheetml/2009/9/main" objectType="Drop" dropLines="5" dropStyle="combo" dx="16" fmlaLink="'DropDown menus'!$C$10" fmlaRange="'DropDown menus'!$C$11:$C$15" noThreeD="1" sel="3" val="0"/>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Lines="2" dropStyle="combo" dx="16" fmlaLink="'DropDown menus'!$U$10" fmlaRange="'DropDown menus'!$V$11:$V$12" noThreeD="1" sel="2" val="0"/>
</file>

<file path=xl/ctrlProps/ctrlProp48.xml><?xml version="1.0" encoding="utf-8"?>
<formControlPr xmlns="http://schemas.microsoft.com/office/spreadsheetml/2009/9/main" objectType="Drop" dropLines="5" dropStyle="combo" dx="16" fmlaLink="'DropDown menus'!$X$10" fmlaRange="'DropDown menus'!$X$11:$X$15" noThreeD="1" sel="3" val="0"/>
</file>

<file path=xl/ctrlProps/ctrlProp49.xml><?xml version="1.0" encoding="utf-8"?>
<formControlPr xmlns="http://schemas.microsoft.com/office/spreadsheetml/2009/9/main" objectType="Drop" dropLines="5" dropStyle="combo" dx="16" fmlaLink="'DropDown menus'!$AO$10" fmlaRange="'DropDown menus'!$AO$11:$AO$15" noThreeD="1" sel="3" val="0"/>
</file>

<file path=xl/ctrlProps/ctrlProp50.xml><?xml version="1.0" encoding="utf-8"?>
<formControlPr xmlns="http://schemas.microsoft.com/office/spreadsheetml/2009/9/main" objectType="Drop" dropLines="2" dropStyle="combo" dx="16" fmlaLink="'DropDown menus'!$AR$10" fmlaRange="'DropDown menus'!AS$11:$AS$12" noThreeD="1" sel="1" val="0"/>
</file>

<file path=xl/ctrlProps/ctrlProp51.xml><?xml version="1.0" encoding="utf-8"?>
<formControlPr xmlns="http://schemas.microsoft.com/office/spreadsheetml/2009/9/main" objectType="Drop" dropLines="5" dropStyle="combo" dx="16" fmlaLink="'DropDown menus'!$X$10" fmlaRange="'DropDown menus'!$X$11:$X$15" noThreeD="1" sel="3" val="0"/>
</file>

<file path=xl/ctrlProps/ctrlProp52.xml><?xml version="1.0" encoding="utf-8"?>
<formControlPr xmlns="http://schemas.microsoft.com/office/spreadsheetml/2009/9/main" objectType="Drop" dropLines="3" dropStyle="combo" dx="16" fmlaLink="'DropDown menus'!$AF$10" fmlaRange="'DropDown menus'!$AF$11:$AF$13" noThreeD="1" sel="2" val="0"/>
</file>

<file path=xl/ctrlProps/ctrlProp53.xml><?xml version="1.0" encoding="utf-8"?>
<formControlPr xmlns="http://schemas.microsoft.com/office/spreadsheetml/2009/9/main" objectType="Drop" dropLines="3" dropStyle="combo" dx="16" fmlaLink="'DropDown menus'!$AI$10" fmlaRange="'DropDown menus'!$AI$11:$AI$13" noThreeD="1" sel="2" val="0"/>
</file>

<file path=xl/ctrlProps/ctrlProp54.xml><?xml version="1.0" encoding="utf-8"?>
<formControlPr xmlns="http://schemas.microsoft.com/office/spreadsheetml/2009/9/main" objectType="Drop" dropLines="5" dropStyle="combo" dx="16" fmlaLink="'DropDown menus'!$O$10" fmlaRange="'DropDown menus'!$O$11:$O$15" noThreeD="1" sel="3" val="0"/>
</file>

<file path=xl/ctrlProps/ctrlProp55.xml><?xml version="1.0" encoding="utf-8"?>
<formControlPr xmlns="http://schemas.microsoft.com/office/spreadsheetml/2009/9/main" objectType="Drop" dropLines="5" dropStyle="combo" dx="16" fmlaLink="'DropDown menus'!$L$10" fmlaRange="'DropDown menus'!$L$11:$L$15" noThreeD="1" sel="3" val="0"/>
</file>

<file path=xl/ctrlProps/ctrlProp56.xml><?xml version="1.0" encoding="utf-8"?>
<formControlPr xmlns="http://schemas.microsoft.com/office/spreadsheetml/2009/9/main" objectType="Drop" dropLines="7" dropStyle="combo" dx="16" fmlaLink="'DropDown menus'!$F$10" fmlaRange="'DropDown menus'!$F$11:$F$19" noThreeD="1" sel="7" val="2"/>
</file>

<file path=xl/ctrlProps/ctrlProp57.xml><?xml version="1.0" encoding="utf-8"?>
<formControlPr xmlns="http://schemas.microsoft.com/office/spreadsheetml/2009/9/main" objectType="Drop" dropLines="7" dropStyle="combo" dx="16" fmlaLink="'DropDown menus'!I$10" fmlaRange="'DropDown menus'!$I$11:$I$17" noThreeD="1" sel="4" val="0"/>
</file>

<file path=xl/ctrlProps/ctrlProp58.xml><?xml version="1.0" encoding="utf-8"?>
<formControlPr xmlns="http://schemas.microsoft.com/office/spreadsheetml/2009/9/main" objectType="Drop" dropLines="5" dropStyle="combo" dx="16" fmlaLink="'DropDown menus'!$C$10" fmlaRange="'DropDown menus'!$C$11:$C$15" noThreeD="1" sel="3" val="0"/>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Drop" dropLines="5" dropStyle="combo" dx="16" fmlaLink="'DropDown menus'!$AO$10" fmlaRange="'DropDown menus'!$AO$11:$AO$15" noThreeD="1" sel="3" val="0"/>
</file>

<file path=xl/ctrlProps/ctrlProp61.xml><?xml version="1.0" encoding="utf-8"?>
<formControlPr xmlns="http://schemas.microsoft.com/office/spreadsheetml/2009/9/main" objectType="Drop" dropLines="2" dropStyle="combo" dx="16" fmlaLink="'DropDown menus'!$AR$10" fmlaRange="'DropDown menus'!AS$11:$AS$12" noThreeD="1" sel="1" val="0"/>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Drop" dropLines="5" dropStyle="combo" dx="16" fmlaLink="'DropDown menus'!$X$10" fmlaRange="'DropDown menus'!$X$11:$X$15" noThreeD="1" sel="3" val="0"/>
</file>

<file path=xl/ctrlProps/ctrlProp64.xml><?xml version="1.0" encoding="utf-8"?>
<formControlPr xmlns="http://schemas.microsoft.com/office/spreadsheetml/2009/9/main" objectType="Drop" dropLines="5" dropStyle="combo" dx="16" fmlaLink="'DropDown menus'!$X$10" fmlaRange="'DropDown menus'!$X$11:$X$15" noThreeD="1" sel="3" val="0"/>
</file>

<file path=xl/ctrlProps/ctrlProp65.xml><?xml version="1.0" encoding="utf-8"?>
<formControlPr xmlns="http://schemas.microsoft.com/office/spreadsheetml/2009/9/main" objectType="Drop" dropLines="5" dropStyle="combo" dx="16" fmlaLink="'DropDown menus'!$X$10" fmlaRange="'DropDown menus'!$X$11:$X$15" noThreeD="1" sel="3" val="0"/>
</file>

<file path=xl/ctrlProps/ctrlProp66.xml><?xml version="1.0" encoding="utf-8"?>
<formControlPr xmlns="http://schemas.microsoft.com/office/spreadsheetml/2009/9/main" objectType="Drop" dropLines="5" dropStyle="combo" dx="16" fmlaLink="'DropDown menus'!$L$10" fmlaRange="'DropDown menus'!$L$11:$L$15" noThreeD="1" sel="3" val="0"/>
</file>

<file path=xl/ctrlProps/ctrlProp67.xml><?xml version="1.0" encoding="utf-8"?>
<formControlPr xmlns="http://schemas.microsoft.com/office/spreadsheetml/2009/9/main" objectType="Drop" dropLines="3" dropStyle="combo" dx="16" fmlaLink="'DropDown menus'!$AF$10" fmlaRange="'DropDown menus'!$AF$11:$AF$13" noThreeD="1" sel="2" val="0"/>
</file>

<file path=xl/ctrlProps/ctrlProp68.xml><?xml version="1.0" encoding="utf-8"?>
<formControlPr xmlns="http://schemas.microsoft.com/office/spreadsheetml/2009/9/main" objectType="Drop" dropLines="3" dropStyle="combo" dx="16" fmlaLink="'DropDown menus'!$AI$10" fmlaRange="'DropDown menus'!$AI$11:$AI$13" noThreeD="1" sel="2" val="0"/>
</file>

<file path=xl/ctrlProps/ctrlProp69.xml><?xml version="1.0" encoding="utf-8"?>
<formControlPr xmlns="http://schemas.microsoft.com/office/spreadsheetml/2009/9/main" objectType="Drop" dropLines="5" dropStyle="combo" dx="16" fmlaLink="'DropDown menus'!$O$10" fmlaRange="'DropDown menus'!$O$11:$O$15" noThreeD="1" sel="3" val="0"/>
</file>

<file path=xl/ctrlProps/ctrlProp70.xml><?xml version="1.0" encoding="utf-8"?>
<formControlPr xmlns="http://schemas.microsoft.com/office/spreadsheetml/2009/9/main" objectType="Drop" dropLines="5" dropStyle="combo" dx="16" fmlaLink="'DropDown menus'!$L$10" fmlaRange="'DropDown menus'!$L$11:$L$15" noThreeD="1" sel="3" val="0"/>
</file>

<file path=xl/ctrlProps/ctrlProp71.xml><?xml version="1.0" encoding="utf-8"?>
<formControlPr xmlns="http://schemas.microsoft.com/office/spreadsheetml/2009/9/main" objectType="Drop" dropLines="7" dropStyle="combo" dx="16" fmlaLink="'DropDown menus'!$F$10" fmlaRange="'DropDown menus'!$F$11:$F$19" noThreeD="1" sel="7" val="2"/>
</file>

<file path=xl/ctrlProps/ctrlProp72.xml><?xml version="1.0" encoding="utf-8"?>
<formControlPr xmlns="http://schemas.microsoft.com/office/spreadsheetml/2009/9/main" objectType="Drop" dropLines="7" dropStyle="combo" dx="16" fmlaLink="'DropDown menus'!I$10" fmlaRange="'DropDown menus'!$I$11:$I$17" noThreeD="1" sel="4" val="0"/>
</file>

<file path=xl/ctrlProps/ctrlProp73.xml><?xml version="1.0" encoding="utf-8"?>
<formControlPr xmlns="http://schemas.microsoft.com/office/spreadsheetml/2009/9/main" objectType="Drop" dropLines="5" dropStyle="combo" dx="16" fmlaLink="'DropDown menus'!$C$10" fmlaRange="'DropDown menus'!$C$11:$C$15" noThreeD="1" sel="3" val="0"/>
</file>

<file path=xl/ctrlProps/ctrlProp74.xml><?xml version="1.0" encoding="utf-8"?>
<formControlPr xmlns="http://schemas.microsoft.com/office/spreadsheetml/2009/9/main" objectType="Drop" dropLines="5" dropStyle="combo" dx="16" fmlaLink="'DropDown menus'!$O$10" fmlaRange="'DropDown menus'!$O$11:$O$15" noThreeD="1" sel="3" val="0"/>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Drop" dropLines="5" dropStyle="combo" dx="16" fmlaLink="'DropDown menus'!$AO$10" fmlaRange="'DropDown menus'!$AO$11:$AO$15" noThreeD="1" sel="3" val="0"/>
</file>

<file path=xl/ctrlProps/ctrlProp77.xml><?xml version="1.0" encoding="utf-8"?>
<formControlPr xmlns="http://schemas.microsoft.com/office/spreadsheetml/2009/9/main" objectType="Drop" dropLines="2" dropStyle="combo" dx="16" fmlaLink="'DropDown menus'!$AR$10" fmlaRange="'DropDown menus'!AS$11:$AS$12" noThreeD="1" sel="1" val="0"/>
</file>

<file path=xl/ctrlProps/ctrlProp78.xml><?xml version="1.0" encoding="utf-8"?>
<formControlPr xmlns="http://schemas.microsoft.com/office/spreadsheetml/2009/9/main" objectType="Drop" dropLines="2" dropStyle="combo" dx="16" fmlaLink="'DropDown menus'!$U$10" fmlaRange="'DropDown menus'!$V$11:$V$12" noThreeD="1" sel="2" val="0"/>
</file>

<file path=xl/ctrlProps/ctrlProp79.xml><?xml version="1.0" encoding="utf-8"?>
<formControlPr xmlns="http://schemas.microsoft.com/office/spreadsheetml/2009/9/main" objectType="Drop" dropLines="2" dropStyle="combo" dx="16" fmlaLink="'DropDown menus'!$AR$10" fmlaRange="'DropDown menus'!AS$11:$AS$12" noThreeD="1" sel="1" val="0"/>
</file>

<file path=xl/ctrlProps/ctrlProp80.xml><?xml version="1.0" encoding="utf-8"?>
<formControlPr xmlns="http://schemas.microsoft.com/office/spreadsheetml/2009/9/main" objectType="Drop" dropLines="2" dropStyle="combo" dx="16" fmlaLink="'DropDown menus'!$U$10" fmlaRange="'DropDown menus'!$V$11:$V$12" noThreeD="1" sel="2" val="0"/>
</file>

<file path=xl/ctrlProps/ctrlProp81.xml><?xml version="1.0" encoding="utf-8"?>
<formControlPr xmlns="http://schemas.microsoft.com/office/spreadsheetml/2009/9/main" objectType="Drop" dropLines="5" dropStyle="combo" dx="16" fmlaLink="'DropDown menus'!$L$10" fmlaRange="'DropDown menus'!$L$11:$L$15" noThreeD="1" sel="3" val="0"/>
</file>

<file path=xl/ctrlProps/ctrlProp82.xml><?xml version="1.0" encoding="utf-8"?>
<formControlPr xmlns="http://schemas.microsoft.com/office/spreadsheetml/2009/9/main" objectType="Drop" dropLines="3" dropStyle="combo" dx="16" fmlaLink="'DropDown menus'!$AI$10" fmlaRange="'DropDown menus'!$AI$11:$AI$13"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Lines="2" dropStyle="combo" dx="16" fmlaLink="'DropDown menus'!$AR$10" fmlaRange="'DropDown menus'!AS$11:$AS$12" noThreeD="1" sel="1" val="0"/>
</file>

<file path=xl/ctrlProps/ctrlProp85.xml><?xml version="1.0" encoding="utf-8"?>
<formControlPr xmlns="http://schemas.microsoft.com/office/spreadsheetml/2009/9/main" objectType="Drop" dropLines="5" dropStyle="combo" dx="16" fmlaLink="'DropDown menus'!$C$10" fmlaRange="'DropDown menus'!$C$11:$C$15" noThreeD="1" sel="3" val="0"/>
</file>

<file path=xl/ctrlProps/ctrlProp86.xml><?xml version="1.0" encoding="utf-8"?>
<formControlPr xmlns="http://schemas.microsoft.com/office/spreadsheetml/2009/9/main" objectType="Drop" dropLines="7" dropStyle="combo" dx="16" fmlaLink="'DropDown menus'!$F$10" fmlaRange="'DropDown menus'!$F$11:$F$19" noThreeD="1" sel="7" val="2"/>
</file>

<file path=xl/ctrlProps/ctrlProp87.xml><?xml version="1.0" encoding="utf-8"?>
<formControlPr xmlns="http://schemas.microsoft.com/office/spreadsheetml/2009/9/main" objectType="Drop" dropLines="2" dropStyle="combo" dx="16" fmlaLink="'DropDown menus'!$U$10" fmlaRange="'DropDown menus'!$V$11:$V$12" noThreeD="1" sel="2" val="0"/>
</file>

<file path=xl/ctrlProps/ctrlProp88.xml><?xml version="1.0" encoding="utf-8"?>
<formControlPr xmlns="http://schemas.microsoft.com/office/spreadsheetml/2009/9/main" objectType="Drop" dropLines="7" dropStyle="combo" dx="16" fmlaLink="'DropDown menus'!I$10" fmlaRange="'DropDown menus'!$I$11:$I$17" noThreeD="1" sel="4" val="0"/>
</file>

<file path=xl/ctrlProps/ctrlProp89.xml><?xml version="1.0" encoding="utf-8"?>
<formControlPr xmlns="http://schemas.microsoft.com/office/spreadsheetml/2009/9/main" objectType="Drop" dropLines="5" dropStyle="combo" dx="16" fmlaLink="'DropDown menus'!$X$10" fmlaRange="'DropDown menus'!$X$11:$X$15" noThreeD="1" sel="3" val="0"/>
</file>

<file path=xl/ctrlProps/ctrlProp90.xml><?xml version="1.0" encoding="utf-8"?>
<formControlPr xmlns="http://schemas.microsoft.com/office/spreadsheetml/2009/9/main" objectType="Drop" dropLines="5" dropStyle="combo" dx="16" fmlaLink="'DropDown menus'!$O$10" fmlaRange="'DropDown menus'!$O$11:$O$15" noThreeD="1" sel="3" val="0"/>
</file>

<file path=xl/ctrlProps/ctrlProp91.xml><?xml version="1.0" encoding="utf-8"?>
<formControlPr xmlns="http://schemas.microsoft.com/office/spreadsheetml/2009/9/main" objectType="Drop" dropLines="3" dropStyle="combo" dx="16" fmlaLink="'DropDown menus'!$AF$10" fmlaRange="'DropDown menus'!$AF$11:$AF$13" noThreeD="1" sel="2" val="0"/>
</file>

<file path=xl/ctrlProps/ctrlProp92.xml><?xml version="1.0" encoding="utf-8"?>
<formControlPr xmlns="http://schemas.microsoft.com/office/spreadsheetml/2009/9/main" objectType="Drop" dropLines="3" dropStyle="combo" dx="16" fmlaLink="'DropDown menus'!$AI$10" fmlaRange="'DropDown menus'!$AI$11:$AI$13" noThreeD="1" sel="2" val="0"/>
</file>

<file path=xl/ctrlProps/ctrlProp93.xml><?xml version="1.0" encoding="utf-8"?>
<formControlPr xmlns="http://schemas.microsoft.com/office/spreadsheetml/2009/9/main" objectType="Drop" dropLines="5" dropStyle="combo" dx="16" fmlaLink="'DropDown menus'!$L$10" fmlaRange="'DropDown menus'!$L$11:$L$15" noThreeD="1" sel="3" val="0"/>
</file>

<file path=xl/ctrlProps/ctrlProp94.xml><?xml version="1.0" encoding="utf-8"?>
<formControlPr xmlns="http://schemas.microsoft.com/office/spreadsheetml/2009/9/main" objectType="Drop" dropLines="5" dropStyle="combo" dx="16" fmlaLink="'DropDown menus'!$AO$10" fmlaRange="'DropDown menus'!$AO$11:$AO$15" noThreeD="1" sel="3" val="0"/>
</file>

<file path=xl/ctrlProps/ctrlProp95.xml><?xml version="1.0" encoding="utf-8"?>
<formControlPr xmlns="http://schemas.microsoft.com/office/spreadsheetml/2009/9/main" objectType="Drop" dropLines="2" dropStyle="combo" dx="16" fmlaLink="'DropDown menus'!$AR$10" fmlaRange="'DropDown menus'!AS$11:$AS$12" noThreeD="1" sel="1" val="0"/>
</file>

<file path=xl/ctrlProps/ctrlProp96.xml><?xml version="1.0" encoding="utf-8"?>
<formControlPr xmlns="http://schemas.microsoft.com/office/spreadsheetml/2009/9/main" objectType="Drop" dropLines="4" dropStyle="combo" dx="16" fmlaLink="'DropDown menus'!$AU$10" fmlaRange="'DropDown menus'!AV$11:$AV$14" noThreeD="1" sel="3" val="0"/>
</file>

<file path=xl/ctrlProps/ctrlProp97.xml><?xml version="1.0" encoding="utf-8"?>
<formControlPr xmlns="http://schemas.microsoft.com/office/spreadsheetml/2009/9/main" objectType="Drop" dropLines="2" dropStyle="combo" dx="16" fmlaLink="'DropDown menus'!$U$10" fmlaRange="'DropDown menus'!$V$11:$V$12" noThreeD="1" sel="2" val="0"/>
</file>

<file path=xl/ctrlProps/ctrlProp98.xml><?xml version="1.0" encoding="utf-8"?>
<formControlPr xmlns="http://schemas.microsoft.com/office/spreadsheetml/2009/9/main" objectType="Drop" dropLines="5" dropStyle="combo" dx="16" fmlaLink="'DropDown menus'!$X$10" fmlaRange="'DropDown menus'!$X$11:$X$15" noThreeD="1" sel="3" val="0"/>
</file>

<file path=xl/ctrlProps/ctrlProp99.xml><?xml version="1.0" encoding="utf-8"?>
<formControlPr xmlns="http://schemas.microsoft.com/office/spreadsheetml/2009/9/main" objectType="Drop" dropLines="3" dropStyle="combo" dx="16" fmlaLink="'DropDown menus'!$AI$10" fmlaRange="'DropDown menus'!$AI$11:$AI$13" noThreeD="1" sel="2" val="0"/>
</file>

<file path=xl/ctrlProps/ctrlProp100.xml><?xml version="1.0" encoding="utf-8"?>
<formControlPr xmlns="http://schemas.microsoft.com/office/spreadsheetml/2009/9/main" objectType="Drop" dropLines="5" dropStyle="combo" dx="16" fmlaLink="'DropDown menus'!$L$10" fmlaRange="'DropDown menus'!$L$11:$L$15" noThreeD="1" sel="3" val="0"/>
</file>

<file path=xl/ctrlProps/ctrlProp101.xml><?xml version="1.0" encoding="utf-8"?>
<formControlPr xmlns="http://schemas.microsoft.com/office/spreadsheetml/2009/9/main" objectType="Drop" dropLines="5" dropStyle="combo" dx="16" fmlaLink="'DropDown menus'!$X$10" fmlaRange="'DropDown menus'!$X$11:$X$15" noThreeD="1" sel="3" val="0"/>
</file>

<file path=xl/ctrlProps/ctrlProp102.xml><?xml version="1.0" encoding="utf-8"?>
<formControlPr xmlns="http://schemas.microsoft.com/office/spreadsheetml/2009/9/main" objectType="Drop" dropLines="2" dropStyle="combo" dx="16" fmlaLink="'DropDown menus'!$U$10" fmlaRange="'DropDown menus'!$V$11:$V$12" noThreeD="1" sel="2" val="0"/>
</file>

<file path=xl/ctrlProps/ctrlProp103.xml><?xml version="1.0" encoding="utf-8"?>
<formControlPr xmlns="http://schemas.microsoft.com/office/spreadsheetml/2009/9/main" objectType="Drop" dropLines="5" dropStyle="combo" dx="16" fmlaLink="'DropDown menus'!$L$10" fmlaRange="'DropDown menus'!$L$11:$L$15" noThreeD="1" sel="3" val="0"/>
</file>

<file path=xl/ctrlProps/ctrlProp104.xml><?xml version="1.0" encoding="utf-8"?>
<formControlPr xmlns="http://schemas.microsoft.com/office/spreadsheetml/2009/9/main" objectType="Drop" dropLines="5" dropStyle="combo" dx="16" fmlaLink="'DropDown menus'!$X$10" fmlaRange="'DropDown menus'!$X$11:$X$15" noThreeD="1" sel="3" val="0"/>
</file>

<file path=xl/ctrlProps/ctrlProp105.xml><?xml version="1.0" encoding="utf-8"?>
<formControlPr xmlns="http://schemas.microsoft.com/office/spreadsheetml/2009/9/main" objectType="Drop" dropLines="3" dropStyle="combo" dx="16" fmlaLink="'DropDown menus'!$AI$10" fmlaRange="'DropDown menus'!$AI$11:$AI$13" noThreeD="1" sel="2" val="0"/>
</file>

<file path=xl/ctrlProps/ctrlProp106.xml><?xml version="1.0" encoding="utf-8"?>
<formControlPr xmlns="http://schemas.microsoft.com/office/spreadsheetml/2009/9/main" objectType="Drop" dropLines="2" dropStyle="combo" dx="16" fmlaLink="'DropDown menus'!$AR$10" fmlaRange="'DropDown menus'!AS$11:$AS$12" noThreeD="1" sel="1" val="0"/>
</file>

<file path=xl/ctrlProps/ctrlProp107.xml><?xml version="1.0" encoding="utf-8"?>
<formControlPr xmlns="http://schemas.microsoft.com/office/spreadsheetml/2009/9/main" objectType="Drop" dropLines="2" dropStyle="combo" dx="16" fmlaLink="'DropDown menus'!$AR$10" fmlaRange="'DropDown menus'!AS$11:$AS$12" noThreeD="1" sel="1" val="0"/>
</file>

<file path=xl/ctrlProps/ctrlProp108.xml><?xml version="1.0" encoding="utf-8"?>
<formControlPr xmlns="http://schemas.microsoft.com/office/spreadsheetml/2009/9/main" objectType="Drop" dropLines="2" dropStyle="combo" dx="16" fmlaLink="'DropDown menus'!$U$10" fmlaRange="'DropDown menus'!$V$11:$V$12" noThreeD="1" sel="2" val="0"/>
</file>

<file path=xl/ctrlProps/ctrlProp109.xml><?xml version="1.0" encoding="utf-8"?>
<formControlPr xmlns="http://schemas.microsoft.com/office/spreadsheetml/2009/9/main" objectType="Drop" dropLines="5" dropStyle="combo" dx="16" fmlaLink="'DropDown menus'!$L$10" fmlaRange="'DropDown menus'!$L$11:$L$15" noThreeD="1" sel="3" val="0"/>
</file>

<file path=xl/ctrlProps/ctrlProp110.xml><?xml version="1.0" encoding="utf-8"?>
<formControlPr xmlns="http://schemas.microsoft.com/office/spreadsheetml/2009/9/main" objectType="Drop" dropLines="5" dropStyle="combo" dx="16" fmlaLink="'DropDown menus'!$X$10" fmlaRange="'DropDown menus'!$X$11:$X$15" noThreeD="1" sel="3" val="0"/>
</file>

<file path=xl/ctrlProps/ctrlProp111.xml><?xml version="1.0" encoding="utf-8"?>
<formControlPr xmlns="http://schemas.microsoft.com/office/spreadsheetml/2009/9/main" objectType="Drop" dropLines="2" dropStyle="combo" dx="16" fmlaLink="'DropDown menus'!$AR$10" fmlaRange="'DropDown menus'!AS$11:$AS$12" noThreeD="1" sel="1" val="0"/>
</file>

<file path=xl/ctrlProps/ctrlProp112.xml><?xml version="1.0" encoding="utf-8"?>
<formControlPr xmlns="http://schemas.microsoft.com/office/spreadsheetml/2009/9/main" objectType="Drop" dropLines="7" dropStyle="combo" dx="16" fmlaLink="'DropDown menus'!$F$10" fmlaRange="'DropDown menus'!$F$11:$F$19" noThreeD="1" sel="7" val="2"/>
</file>

<file path=xl/ctrlProps/ctrlProp113.xml><?xml version="1.0" encoding="utf-8"?>
<formControlPr xmlns="http://schemas.microsoft.com/office/spreadsheetml/2009/9/main" objectType="Drop" dropLines="7" dropStyle="combo" dx="16" fmlaLink="'DropDown menus'!I$10" fmlaRange="'DropDown menus'!$I$11:$I$17" noThreeD="1" sel="4" val="0"/>
</file>

<file path=xl/ctrlProps/ctrlProp114.xml><?xml version="1.0" encoding="utf-8"?>
<formControlPr xmlns="http://schemas.microsoft.com/office/spreadsheetml/2009/9/main" objectType="Drop" dropLines="3" dropStyle="combo" dx="16" fmlaLink="'DropDown menus'!$AF$10" fmlaRange="'DropDown menus'!$AF$11:$AF$13" noThreeD="1" sel="2" val="0"/>
</file>

<file path=xl/ctrlProps/ctrlProp115.xml><?xml version="1.0" encoding="utf-8"?>
<formControlPr xmlns="http://schemas.microsoft.com/office/spreadsheetml/2009/9/main" objectType="Drop" dropLines="7" dropStyle="combo" dx="16" fmlaLink="'DropDown menus'!$F$10" fmlaRange="'DropDown menus'!$F$11:$F$19" noThreeD="1" sel="7" val="2"/>
</file>

<file path=xl/ctrlProps/ctrlProp116.xml><?xml version="1.0" encoding="utf-8"?>
<formControlPr xmlns="http://schemas.microsoft.com/office/spreadsheetml/2009/9/main" objectType="Drop" dropLines="7" dropStyle="combo" dx="16" fmlaLink="'DropDown menus'!I$10" fmlaRange="'DropDown menus'!$I$11:$I$17" noThreeD="1" sel="4" val="0"/>
</file>

<file path=xl/ctrlProps/ctrlProp117.xml><?xml version="1.0" encoding="utf-8"?>
<formControlPr xmlns="http://schemas.microsoft.com/office/spreadsheetml/2009/9/main" objectType="Drop" dropLines="5" dropStyle="combo" dx="16" fmlaLink="'DropDown menus'!$X$10" fmlaRange="'DropDown menus'!$X$11:$X$15" noThreeD="1" sel="3" val="0"/>
</file>

<file path=xl/ctrlProps/ctrlProp118.xml><?xml version="1.0" encoding="utf-8"?>
<formControlPr xmlns="http://schemas.microsoft.com/office/spreadsheetml/2009/9/main" objectType="Drop" dropLines="5" dropStyle="combo" dx="16" fmlaLink="'DropDown menus'!$C$10" fmlaRange="'DropDown menus'!$C$11:$C$15" noThreeD="1" sel="3"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wmf"/></Relationships>
</file>

<file path=xl/drawings/_rels/drawing3.xml.rels><?xml version="1.0" encoding="UTF-8" standalone="yes"?>
<Relationships xmlns="http://schemas.openxmlformats.org/package/2006/relationships"><Relationship Id="rId1" Type="http://schemas.openxmlformats.org/officeDocument/2006/relationships/image" Target="../media/image2.wmf"/></Relationships>
</file>

<file path=xl/drawings/_rels/drawing4.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2.wmf"/><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2.wmf"/></Relationships>
</file>

<file path=xl/drawings/_rels/drawing8.xml.rels><?xml version="1.0" encoding="UTF-8" standalone="yes"?>
<Relationships xmlns="http://schemas.openxmlformats.org/package/2006/relationships"><Relationship Id="rId3" Type="http://schemas.openxmlformats.org/officeDocument/2006/relationships/image" Target="../media/image2.wmf"/><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1.xml.rels><?xml version="1.0" encoding="UTF-8" standalone="yes"?>
<Relationships xmlns="http://schemas.openxmlformats.org/package/2006/relationships"><Relationship Id="rId1" Type="http://schemas.openxmlformats.org/officeDocument/2006/relationships/image" Target="../media/image2.wmf"/></Relationships>
</file>

<file path=xl/drawings/_rels/drawing13.xml.rels><?xml version="1.0" encoding="UTF-8" standalone="yes"?>
<Relationships xmlns="http://schemas.openxmlformats.org/package/2006/relationships"><Relationship Id="rId1" Type="http://schemas.openxmlformats.org/officeDocument/2006/relationships/image" Target="../media/image2.wmf"/></Relationships>
</file>

<file path=xl/drawings/_rels/drawing14.xml.rels><?xml version="1.0" encoding="UTF-8" standalone="yes"?>
<Relationships xmlns="http://schemas.openxmlformats.org/package/2006/relationships"><Relationship Id="rId1" Type="http://schemas.openxmlformats.org/officeDocument/2006/relationships/image" Target="../media/image2.wmf"/></Relationships>
</file>

<file path=xl/drawings/_rels/drawing1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660400</xdr:colOff>
          <xdr:row>12</xdr:row>
          <xdr:rowOff>101600</xdr:rowOff>
        </xdr:from>
        <xdr:to>
          <xdr:col>5</xdr:col>
          <xdr:colOff>355600</xdr:colOff>
          <xdr:row>13</xdr:row>
          <xdr:rowOff>88900</xdr:rowOff>
        </xdr:to>
        <xdr:sp macro="" textlink="">
          <xdr:nvSpPr>
            <xdr:cNvPr id="136194" name="Drop Down 2" hidden="1">
              <a:extLst>
                <a:ext uri="{63B3BB69-23CF-44E3-9099-C40C66FF867C}">
                  <a14:compatExt spid="_x0000_s136194"/>
                </a:ext>
                <a:ext uri="{FF2B5EF4-FFF2-40B4-BE49-F238E27FC236}">
                  <a16:creationId xmlns:a16="http://schemas.microsoft.com/office/drawing/2014/main" id="{00000000-0008-0000-0000-000002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17</xdr:col>
      <xdr:colOff>142875</xdr:colOff>
      <xdr:row>0</xdr:row>
      <xdr:rowOff>96370</xdr:rowOff>
    </xdr:from>
    <xdr:to>
      <xdr:col>19</xdr:col>
      <xdr:colOff>328172</xdr:colOff>
      <xdr:row>3</xdr:row>
      <xdr:rowOff>30508</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673228" y="96370"/>
          <a:ext cx="1238650" cy="5840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25400</xdr:colOff>
          <xdr:row>5</xdr:row>
          <xdr:rowOff>25400</xdr:rowOff>
        </xdr:from>
        <xdr:to>
          <xdr:col>18</xdr:col>
          <xdr:colOff>444500</xdr:colOff>
          <xdr:row>5</xdr:row>
          <xdr:rowOff>177800</xdr:rowOff>
        </xdr:to>
        <xdr:sp macro="" textlink="">
          <xdr:nvSpPr>
            <xdr:cNvPr id="136195" name="Drop Down 3" hidden="1">
              <a:extLst>
                <a:ext uri="{63B3BB69-23CF-44E3-9099-C40C66FF867C}">
                  <a14:compatExt spid="_x0000_s136195"/>
                </a:ext>
                <a:ext uri="{FF2B5EF4-FFF2-40B4-BE49-F238E27FC236}">
                  <a16:creationId xmlns:a16="http://schemas.microsoft.com/office/drawing/2014/main" id="{00000000-0008-0000-0000-000003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5</xdr:row>
          <xdr:rowOff>76200</xdr:rowOff>
        </xdr:from>
        <xdr:to>
          <xdr:col>8</xdr:col>
          <xdr:colOff>457200</xdr:colOff>
          <xdr:row>6</xdr:row>
          <xdr:rowOff>88900</xdr:rowOff>
        </xdr:to>
        <xdr:sp macro="" textlink="">
          <xdr:nvSpPr>
            <xdr:cNvPr id="136201" name="Drop Down 9" hidden="1">
              <a:extLst>
                <a:ext uri="{63B3BB69-23CF-44E3-9099-C40C66FF867C}">
                  <a14:compatExt spid="_x0000_s136201"/>
                </a:ext>
                <a:ext uri="{FF2B5EF4-FFF2-40B4-BE49-F238E27FC236}">
                  <a16:creationId xmlns:a16="http://schemas.microsoft.com/office/drawing/2014/main" id="{00000000-0008-0000-0000-0000091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13</xdr:col>
      <xdr:colOff>369094</xdr:colOff>
      <xdr:row>0</xdr:row>
      <xdr:rowOff>250031</xdr:rowOff>
    </xdr:from>
    <xdr:to>
      <xdr:col>15</xdr:col>
      <xdr:colOff>224656</xdr:colOff>
      <xdr:row>2</xdr:row>
      <xdr:rowOff>150812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786688" y="250031"/>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292100</xdr:colOff>
          <xdr:row>14</xdr:row>
          <xdr:rowOff>76200</xdr:rowOff>
        </xdr:from>
        <xdr:to>
          <xdr:col>7</xdr:col>
          <xdr:colOff>355600</xdr:colOff>
          <xdr:row>15</xdr:row>
          <xdr:rowOff>101600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30</xdr:row>
          <xdr:rowOff>25400</xdr:rowOff>
        </xdr:from>
        <xdr:to>
          <xdr:col>4</xdr:col>
          <xdr:colOff>698500</xdr:colOff>
          <xdr:row>30</xdr:row>
          <xdr:rowOff>215900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24</xdr:row>
          <xdr:rowOff>25400</xdr:rowOff>
        </xdr:from>
        <xdr:to>
          <xdr:col>4</xdr:col>
          <xdr:colOff>698500</xdr:colOff>
          <xdr:row>24</xdr:row>
          <xdr:rowOff>215900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22</xdr:row>
          <xdr:rowOff>25400</xdr:rowOff>
        </xdr:from>
        <xdr:to>
          <xdr:col>4</xdr:col>
          <xdr:colOff>698500</xdr:colOff>
          <xdr:row>22</xdr:row>
          <xdr:rowOff>215900</xdr:rowOff>
        </xdr:to>
        <xdr:sp macro="" textlink="">
          <xdr:nvSpPr>
            <xdr:cNvPr id="1033" name="Drop Dow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26</xdr:row>
          <xdr:rowOff>25400</xdr:rowOff>
        </xdr:from>
        <xdr:to>
          <xdr:col>4</xdr:col>
          <xdr:colOff>698500</xdr:colOff>
          <xdr:row>26</xdr:row>
          <xdr:rowOff>215900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28</xdr:row>
          <xdr:rowOff>38100</xdr:rowOff>
        </xdr:from>
        <xdr:to>
          <xdr:col>4</xdr:col>
          <xdr:colOff>698500</xdr:colOff>
          <xdr:row>28</xdr:row>
          <xdr:rowOff>215900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32</xdr:row>
          <xdr:rowOff>25400</xdr:rowOff>
        </xdr:from>
        <xdr:to>
          <xdr:col>4</xdr:col>
          <xdr:colOff>698500</xdr:colOff>
          <xdr:row>32</xdr:row>
          <xdr:rowOff>215900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139700</xdr:colOff>
          <xdr:row>20</xdr:row>
          <xdr:rowOff>38100</xdr:rowOff>
        </xdr:from>
        <xdr:to>
          <xdr:col>5</xdr:col>
          <xdr:colOff>571500</xdr:colOff>
          <xdr:row>20</xdr:row>
          <xdr:rowOff>203200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901700</xdr:colOff>
          <xdr:row>34</xdr:row>
          <xdr:rowOff>25400</xdr:rowOff>
        </xdr:from>
        <xdr:to>
          <xdr:col>4</xdr:col>
          <xdr:colOff>698500</xdr:colOff>
          <xdr:row>34</xdr:row>
          <xdr:rowOff>215900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63500</xdr:colOff>
          <xdr:row>14</xdr:row>
          <xdr:rowOff>38100</xdr:rowOff>
        </xdr:from>
        <xdr:to>
          <xdr:col>3</xdr:col>
          <xdr:colOff>863600</xdr:colOff>
          <xdr:row>15</xdr:row>
          <xdr:rowOff>114300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36</xdr:row>
          <xdr:rowOff>25400</xdr:rowOff>
        </xdr:from>
        <xdr:to>
          <xdr:col>3</xdr:col>
          <xdr:colOff>749300</xdr:colOff>
          <xdr:row>36</xdr:row>
          <xdr:rowOff>203200</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762000</xdr:colOff>
          <xdr:row>20</xdr:row>
          <xdr:rowOff>88900</xdr:rowOff>
        </xdr:from>
        <xdr:to>
          <xdr:col>7</xdr:col>
          <xdr:colOff>647700</xdr:colOff>
          <xdr:row>22</xdr:row>
          <xdr:rowOff>50800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200-000001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000" b="0" i="0" u="none" strike="noStrike" baseline="0">
                  <a:solidFill>
                    <a:srgbClr val="000000"/>
                  </a:solidFill>
                  <a:latin typeface="Arial" pitchFamily="2" charset="0"/>
                  <a:cs typeface="Arial" pitchFamily="2" charset="0"/>
                </a:rPr>
                <a:t>Fill Values</a:t>
              </a:r>
            </a:p>
          </xdr:txBody>
        </xdr:sp>
        <xdr:clientData fPrintsWithSheet="0"/>
      </xdr:twoCellAnchor>
    </mc:Choice>
    <mc:Fallback/>
  </mc:AlternateContent>
  <xdr:twoCellAnchor editAs="oneCell">
    <xdr:from>
      <xdr:col>2</xdr:col>
      <xdr:colOff>486835</xdr:colOff>
      <xdr:row>0</xdr:row>
      <xdr:rowOff>116417</xdr:rowOff>
    </xdr:from>
    <xdr:to>
      <xdr:col>3</xdr:col>
      <xdr:colOff>1125563</xdr:colOff>
      <xdr:row>2</xdr:row>
      <xdr:rowOff>148167</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84918" y="116417"/>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114300</xdr:colOff>
          <xdr:row>23</xdr:row>
          <xdr:rowOff>38100</xdr:rowOff>
        </xdr:from>
        <xdr:to>
          <xdr:col>5</xdr:col>
          <xdr:colOff>0</xdr:colOff>
          <xdr:row>23</xdr:row>
          <xdr:rowOff>203200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200-000002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35</xdr:row>
          <xdr:rowOff>25400</xdr:rowOff>
        </xdr:from>
        <xdr:to>
          <xdr:col>3</xdr:col>
          <xdr:colOff>1092200</xdr:colOff>
          <xdr:row>35</xdr:row>
          <xdr:rowOff>203200</xdr:rowOff>
        </xdr:to>
        <xdr:sp macro="" textlink="">
          <xdr:nvSpPr>
            <xdr:cNvPr id="36874" name="Drop Down 10" hidden="1">
              <a:extLst>
                <a:ext uri="{63B3BB69-23CF-44E3-9099-C40C66FF867C}">
                  <a14:compatExt spid="_x0000_s36874"/>
                </a:ext>
                <a:ext uri="{FF2B5EF4-FFF2-40B4-BE49-F238E27FC236}">
                  <a16:creationId xmlns:a16="http://schemas.microsoft.com/office/drawing/2014/main" id="{00000000-0008-0000-02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27</xdr:row>
          <xdr:rowOff>25400</xdr:rowOff>
        </xdr:from>
        <xdr:to>
          <xdr:col>3</xdr:col>
          <xdr:colOff>1092200</xdr:colOff>
          <xdr:row>27</xdr:row>
          <xdr:rowOff>203200</xdr:rowOff>
        </xdr:to>
        <xdr:sp macro="" textlink="">
          <xdr:nvSpPr>
            <xdr:cNvPr id="36875" name="Drop Down 11" hidden="1">
              <a:extLst>
                <a:ext uri="{63B3BB69-23CF-44E3-9099-C40C66FF867C}">
                  <a14:compatExt spid="_x0000_s36875"/>
                </a:ext>
                <a:ext uri="{FF2B5EF4-FFF2-40B4-BE49-F238E27FC236}">
                  <a16:creationId xmlns:a16="http://schemas.microsoft.com/office/drawing/2014/main" id="{00000000-0008-0000-02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29</xdr:row>
          <xdr:rowOff>25400</xdr:rowOff>
        </xdr:from>
        <xdr:to>
          <xdr:col>3</xdr:col>
          <xdr:colOff>1092200</xdr:colOff>
          <xdr:row>29</xdr:row>
          <xdr:rowOff>215900</xdr:rowOff>
        </xdr:to>
        <xdr:sp macro="" textlink="">
          <xdr:nvSpPr>
            <xdr:cNvPr id="36876" name="Drop Down 12" hidden="1">
              <a:extLst>
                <a:ext uri="{63B3BB69-23CF-44E3-9099-C40C66FF867C}">
                  <a14:compatExt spid="_x0000_s36876"/>
                </a:ext>
                <a:ext uri="{FF2B5EF4-FFF2-40B4-BE49-F238E27FC236}">
                  <a16:creationId xmlns:a16="http://schemas.microsoft.com/office/drawing/2014/main" id="{00000000-0008-0000-0200-00000C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25</xdr:row>
          <xdr:rowOff>25400</xdr:rowOff>
        </xdr:from>
        <xdr:to>
          <xdr:col>3</xdr:col>
          <xdr:colOff>1092200</xdr:colOff>
          <xdr:row>25</xdr:row>
          <xdr:rowOff>190500</xdr:rowOff>
        </xdr:to>
        <xdr:sp macro="" textlink="">
          <xdr:nvSpPr>
            <xdr:cNvPr id="36877" name="Drop Down 13" hidden="1">
              <a:extLst>
                <a:ext uri="{63B3BB69-23CF-44E3-9099-C40C66FF867C}">
                  <a14:compatExt spid="_x0000_s36877"/>
                </a:ext>
                <a:ext uri="{FF2B5EF4-FFF2-40B4-BE49-F238E27FC236}">
                  <a16:creationId xmlns:a16="http://schemas.microsoft.com/office/drawing/2014/main" id="{00000000-0008-0000-0200-00000D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31</xdr:row>
          <xdr:rowOff>25400</xdr:rowOff>
        </xdr:from>
        <xdr:to>
          <xdr:col>3</xdr:col>
          <xdr:colOff>1092200</xdr:colOff>
          <xdr:row>31</xdr:row>
          <xdr:rowOff>203200</xdr:rowOff>
        </xdr:to>
        <xdr:sp macro="" textlink="">
          <xdr:nvSpPr>
            <xdr:cNvPr id="36878" name="Drop Down 14" hidden="1">
              <a:extLst>
                <a:ext uri="{63B3BB69-23CF-44E3-9099-C40C66FF867C}">
                  <a14:compatExt spid="_x0000_s36878"/>
                </a:ext>
                <a:ext uri="{FF2B5EF4-FFF2-40B4-BE49-F238E27FC236}">
                  <a16:creationId xmlns:a16="http://schemas.microsoft.com/office/drawing/2014/main" id="{00000000-0008-0000-0200-00000E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33</xdr:row>
          <xdr:rowOff>38100</xdr:rowOff>
        </xdr:from>
        <xdr:to>
          <xdr:col>3</xdr:col>
          <xdr:colOff>1092200</xdr:colOff>
          <xdr:row>33</xdr:row>
          <xdr:rowOff>215900</xdr:rowOff>
        </xdr:to>
        <xdr:sp macro="" textlink="">
          <xdr:nvSpPr>
            <xdr:cNvPr id="36879" name="Drop Down 15" hidden="1">
              <a:extLst>
                <a:ext uri="{63B3BB69-23CF-44E3-9099-C40C66FF867C}">
                  <a14:compatExt spid="_x0000_s36879"/>
                </a:ext>
                <a:ext uri="{FF2B5EF4-FFF2-40B4-BE49-F238E27FC236}">
                  <a16:creationId xmlns:a16="http://schemas.microsoft.com/office/drawing/2014/main" id="{00000000-0008-0000-0200-00000F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37</xdr:row>
          <xdr:rowOff>25400</xdr:rowOff>
        </xdr:from>
        <xdr:to>
          <xdr:col>3</xdr:col>
          <xdr:colOff>1092200</xdr:colOff>
          <xdr:row>37</xdr:row>
          <xdr:rowOff>203200</xdr:rowOff>
        </xdr:to>
        <xdr:sp macro="" textlink="">
          <xdr:nvSpPr>
            <xdr:cNvPr id="36880" name="Drop Down 16" hidden="1">
              <a:extLst>
                <a:ext uri="{63B3BB69-23CF-44E3-9099-C40C66FF867C}">
                  <a14:compatExt spid="_x0000_s36880"/>
                </a:ext>
                <a:ext uri="{FF2B5EF4-FFF2-40B4-BE49-F238E27FC236}">
                  <a16:creationId xmlns:a16="http://schemas.microsoft.com/office/drawing/2014/main" id="{00000000-0008-0000-0200-000010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39</xdr:row>
          <xdr:rowOff>25400</xdr:rowOff>
        </xdr:from>
        <xdr:to>
          <xdr:col>3</xdr:col>
          <xdr:colOff>1066800</xdr:colOff>
          <xdr:row>39</xdr:row>
          <xdr:rowOff>228600</xdr:rowOff>
        </xdr:to>
        <xdr:sp macro="" textlink="">
          <xdr:nvSpPr>
            <xdr:cNvPr id="36881" name="Drop Down 17" hidden="1">
              <a:extLst>
                <a:ext uri="{63B3BB69-23CF-44E3-9099-C40C66FF867C}">
                  <a14:compatExt spid="_x0000_s36881"/>
                </a:ext>
                <a:ext uri="{FF2B5EF4-FFF2-40B4-BE49-F238E27FC236}">
                  <a16:creationId xmlns:a16="http://schemas.microsoft.com/office/drawing/2014/main" id="{00000000-0008-0000-0200-00001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41</xdr:row>
          <xdr:rowOff>25400</xdr:rowOff>
        </xdr:from>
        <xdr:to>
          <xdr:col>3</xdr:col>
          <xdr:colOff>0</xdr:colOff>
          <xdr:row>42</xdr:row>
          <xdr:rowOff>0</xdr:rowOff>
        </xdr:to>
        <xdr:sp macro="" textlink="">
          <xdr:nvSpPr>
            <xdr:cNvPr id="36882" name="Drop Down 18" hidden="1">
              <a:extLst>
                <a:ext uri="{63B3BB69-23CF-44E3-9099-C40C66FF867C}">
                  <a14:compatExt spid="_x0000_s36882"/>
                </a:ext>
                <a:ext uri="{FF2B5EF4-FFF2-40B4-BE49-F238E27FC236}">
                  <a16:creationId xmlns:a16="http://schemas.microsoft.com/office/drawing/2014/main" id="{00000000-0008-0000-0200-00001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192600</xdr:colOff>
      <xdr:row>1</xdr:row>
      <xdr:rowOff>47881</xdr:rowOff>
    </xdr:from>
    <xdr:to>
      <xdr:col>5</xdr:col>
      <xdr:colOff>47625</xdr:colOff>
      <xdr:row>22</xdr:row>
      <xdr:rowOff>130968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30955</xdr:colOff>
      <xdr:row>1</xdr:row>
      <xdr:rowOff>95250</xdr:rowOff>
    </xdr:from>
    <xdr:to>
      <xdr:col>12</xdr:col>
      <xdr:colOff>319111</xdr:colOff>
      <xdr:row>5</xdr:row>
      <xdr:rowOff>31750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41143" y="261938"/>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114300</xdr:colOff>
          <xdr:row>32</xdr:row>
          <xdr:rowOff>38100</xdr:rowOff>
        </xdr:from>
        <xdr:to>
          <xdr:col>4</xdr:col>
          <xdr:colOff>533400</xdr:colOff>
          <xdr:row>32</xdr:row>
          <xdr:rowOff>203200</xdr:rowOff>
        </xdr:to>
        <xdr:sp macro="" textlink="">
          <xdr:nvSpPr>
            <xdr:cNvPr id="37898" name="Button 10" hidden="1">
              <a:extLst>
                <a:ext uri="{63B3BB69-23CF-44E3-9099-C40C66FF867C}">
                  <a14:compatExt spid="_x0000_s37898"/>
                </a:ext>
                <a:ext uri="{FF2B5EF4-FFF2-40B4-BE49-F238E27FC236}">
                  <a16:creationId xmlns:a16="http://schemas.microsoft.com/office/drawing/2014/main" id="{00000000-0008-0000-0300-00000A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44</xdr:row>
          <xdr:rowOff>38100</xdr:rowOff>
        </xdr:from>
        <xdr:to>
          <xdr:col>3</xdr:col>
          <xdr:colOff>558800</xdr:colOff>
          <xdr:row>44</xdr:row>
          <xdr:rowOff>215900</xdr:rowOff>
        </xdr:to>
        <xdr:sp macro="" textlink="">
          <xdr:nvSpPr>
            <xdr:cNvPr id="37899" name="Drop Down 11" hidden="1">
              <a:extLst>
                <a:ext uri="{63B3BB69-23CF-44E3-9099-C40C66FF867C}">
                  <a14:compatExt spid="_x0000_s37899"/>
                </a:ext>
                <a:ext uri="{FF2B5EF4-FFF2-40B4-BE49-F238E27FC236}">
                  <a16:creationId xmlns:a16="http://schemas.microsoft.com/office/drawing/2014/main" id="{00000000-0008-0000-0300-00000B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36</xdr:row>
          <xdr:rowOff>38100</xdr:rowOff>
        </xdr:from>
        <xdr:to>
          <xdr:col>3</xdr:col>
          <xdr:colOff>558800</xdr:colOff>
          <xdr:row>36</xdr:row>
          <xdr:rowOff>215900</xdr:rowOff>
        </xdr:to>
        <xdr:sp macro="" textlink="">
          <xdr:nvSpPr>
            <xdr:cNvPr id="37900" name="Drop Down 12" hidden="1">
              <a:extLst>
                <a:ext uri="{63B3BB69-23CF-44E3-9099-C40C66FF867C}">
                  <a14:compatExt spid="_x0000_s37900"/>
                </a:ext>
                <a:ext uri="{FF2B5EF4-FFF2-40B4-BE49-F238E27FC236}">
                  <a16:creationId xmlns:a16="http://schemas.microsoft.com/office/drawing/2014/main" id="{00000000-0008-0000-0300-00000C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38</xdr:row>
          <xdr:rowOff>38100</xdr:rowOff>
        </xdr:from>
        <xdr:to>
          <xdr:col>3</xdr:col>
          <xdr:colOff>558800</xdr:colOff>
          <xdr:row>38</xdr:row>
          <xdr:rowOff>215900</xdr:rowOff>
        </xdr:to>
        <xdr:sp macro="" textlink="">
          <xdr:nvSpPr>
            <xdr:cNvPr id="37901" name="Drop Down 13" hidden="1">
              <a:extLst>
                <a:ext uri="{63B3BB69-23CF-44E3-9099-C40C66FF867C}">
                  <a14:compatExt spid="_x0000_s37901"/>
                </a:ext>
                <a:ext uri="{FF2B5EF4-FFF2-40B4-BE49-F238E27FC236}">
                  <a16:creationId xmlns:a16="http://schemas.microsoft.com/office/drawing/2014/main" id="{00000000-0008-0000-0300-00000D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34</xdr:row>
          <xdr:rowOff>25400</xdr:rowOff>
        </xdr:from>
        <xdr:to>
          <xdr:col>3</xdr:col>
          <xdr:colOff>558800</xdr:colOff>
          <xdr:row>34</xdr:row>
          <xdr:rowOff>203200</xdr:rowOff>
        </xdr:to>
        <xdr:sp macro="" textlink="">
          <xdr:nvSpPr>
            <xdr:cNvPr id="37902" name="Drop Down 14" hidden="1">
              <a:extLst>
                <a:ext uri="{63B3BB69-23CF-44E3-9099-C40C66FF867C}">
                  <a14:compatExt spid="_x0000_s37902"/>
                </a:ext>
                <a:ext uri="{FF2B5EF4-FFF2-40B4-BE49-F238E27FC236}">
                  <a16:creationId xmlns:a16="http://schemas.microsoft.com/office/drawing/2014/main" id="{00000000-0008-0000-0300-00000E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40</xdr:row>
          <xdr:rowOff>38100</xdr:rowOff>
        </xdr:from>
        <xdr:to>
          <xdr:col>3</xdr:col>
          <xdr:colOff>558800</xdr:colOff>
          <xdr:row>40</xdr:row>
          <xdr:rowOff>215900</xdr:rowOff>
        </xdr:to>
        <xdr:sp macro="" textlink="">
          <xdr:nvSpPr>
            <xdr:cNvPr id="37903" name="Drop Down 15" hidden="1">
              <a:extLst>
                <a:ext uri="{63B3BB69-23CF-44E3-9099-C40C66FF867C}">
                  <a14:compatExt spid="_x0000_s37903"/>
                </a:ext>
                <a:ext uri="{FF2B5EF4-FFF2-40B4-BE49-F238E27FC236}">
                  <a16:creationId xmlns:a16="http://schemas.microsoft.com/office/drawing/2014/main" id="{00000000-0008-0000-0300-00000F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42</xdr:row>
          <xdr:rowOff>50800</xdr:rowOff>
        </xdr:from>
        <xdr:to>
          <xdr:col>3</xdr:col>
          <xdr:colOff>558800</xdr:colOff>
          <xdr:row>42</xdr:row>
          <xdr:rowOff>215900</xdr:rowOff>
        </xdr:to>
        <xdr:sp macro="" textlink="">
          <xdr:nvSpPr>
            <xdr:cNvPr id="37904" name="Drop Down 16" hidden="1">
              <a:extLst>
                <a:ext uri="{63B3BB69-23CF-44E3-9099-C40C66FF867C}">
                  <a14:compatExt spid="_x0000_s37904"/>
                </a:ext>
                <a:ext uri="{FF2B5EF4-FFF2-40B4-BE49-F238E27FC236}">
                  <a16:creationId xmlns:a16="http://schemas.microsoft.com/office/drawing/2014/main" id="{00000000-0008-0000-0300-000010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46</xdr:row>
          <xdr:rowOff>25400</xdr:rowOff>
        </xdr:from>
        <xdr:to>
          <xdr:col>3</xdr:col>
          <xdr:colOff>558800</xdr:colOff>
          <xdr:row>46</xdr:row>
          <xdr:rowOff>215900</xdr:rowOff>
        </xdr:to>
        <xdr:sp macro="" textlink="">
          <xdr:nvSpPr>
            <xdr:cNvPr id="37905" name="Drop Down 17" hidden="1">
              <a:extLst>
                <a:ext uri="{63B3BB69-23CF-44E3-9099-C40C66FF867C}">
                  <a14:compatExt spid="_x0000_s37905"/>
                </a:ext>
                <a:ext uri="{FF2B5EF4-FFF2-40B4-BE49-F238E27FC236}">
                  <a16:creationId xmlns:a16="http://schemas.microsoft.com/office/drawing/2014/main" id="{00000000-0008-0000-0300-00001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48</xdr:row>
          <xdr:rowOff>25400</xdr:rowOff>
        </xdr:from>
        <xdr:to>
          <xdr:col>3</xdr:col>
          <xdr:colOff>558800</xdr:colOff>
          <xdr:row>48</xdr:row>
          <xdr:rowOff>203200</xdr:rowOff>
        </xdr:to>
        <xdr:sp macro="" textlink="">
          <xdr:nvSpPr>
            <xdr:cNvPr id="37906" name="Drop Down 18" hidden="1">
              <a:extLst>
                <a:ext uri="{63B3BB69-23CF-44E3-9099-C40C66FF867C}">
                  <a14:compatExt spid="_x0000_s37906"/>
                </a:ext>
                <a:ext uri="{FF2B5EF4-FFF2-40B4-BE49-F238E27FC236}">
                  <a16:creationId xmlns:a16="http://schemas.microsoft.com/office/drawing/2014/main" id="{00000000-0008-0000-0300-000012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24</xdr:row>
          <xdr:rowOff>63500</xdr:rowOff>
        </xdr:from>
        <xdr:to>
          <xdr:col>2</xdr:col>
          <xdr:colOff>711200</xdr:colOff>
          <xdr:row>25</xdr:row>
          <xdr:rowOff>139700</xdr:rowOff>
        </xdr:to>
        <xdr:sp macro="" textlink="">
          <xdr:nvSpPr>
            <xdr:cNvPr id="37907" name="Drop Down 19" hidden="1">
              <a:extLst>
                <a:ext uri="{63B3BB69-23CF-44E3-9099-C40C66FF867C}">
                  <a14:compatExt spid="_x0000_s37907"/>
                </a:ext>
                <a:ext uri="{FF2B5EF4-FFF2-40B4-BE49-F238E27FC236}">
                  <a16:creationId xmlns:a16="http://schemas.microsoft.com/office/drawing/2014/main" id="{00000000-0008-0000-0300-000013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1028700</xdr:colOff>
          <xdr:row>50</xdr:row>
          <xdr:rowOff>25400</xdr:rowOff>
        </xdr:from>
        <xdr:to>
          <xdr:col>2</xdr:col>
          <xdr:colOff>863600</xdr:colOff>
          <xdr:row>50</xdr:row>
          <xdr:rowOff>203200</xdr:rowOff>
        </xdr:to>
        <xdr:sp macro="" textlink="">
          <xdr:nvSpPr>
            <xdr:cNvPr id="37910" name="Drop Down 22" hidden="1">
              <a:extLst>
                <a:ext uri="{63B3BB69-23CF-44E3-9099-C40C66FF867C}">
                  <a14:compatExt spid="_x0000_s37910"/>
                </a:ext>
                <a:ext uri="{FF2B5EF4-FFF2-40B4-BE49-F238E27FC236}">
                  <a16:creationId xmlns:a16="http://schemas.microsoft.com/office/drawing/2014/main" id="{00000000-0008-0000-0300-000016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70200</xdr:colOff>
      <xdr:row>4</xdr:row>
      <xdr:rowOff>0</xdr:rowOff>
    </xdr:from>
    <xdr:to>
      <xdr:col>8</xdr:col>
      <xdr:colOff>21167</xdr:colOff>
      <xdr:row>27</xdr:row>
      <xdr:rowOff>21167</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1</xdr:row>
      <xdr:rowOff>0</xdr:rowOff>
    </xdr:from>
    <xdr:to>
      <xdr:col>10</xdr:col>
      <xdr:colOff>304800</xdr:colOff>
      <xdr:row>1</xdr:row>
      <xdr:rowOff>305858</xdr:rowOff>
    </xdr:to>
    <xdr:sp macro="" textlink="">
      <xdr:nvSpPr>
        <xdr:cNvPr id="3" name="logo" descr="AZA Battery">
          <a:extLst>
            <a:ext uri="{FF2B5EF4-FFF2-40B4-BE49-F238E27FC236}">
              <a16:creationId xmlns:a16="http://schemas.microsoft.com/office/drawing/2014/main" id="{00000000-0008-0000-0400-000003000000}"/>
            </a:ext>
          </a:extLst>
        </xdr:cNvPr>
        <xdr:cNvSpPr>
          <a:spLocks noChangeAspect="1" noChangeArrowheads="1"/>
        </xdr:cNvSpPr>
      </xdr:nvSpPr>
      <xdr:spPr bwMode="auto">
        <a:xfrm>
          <a:off x="6181725" y="16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550330</xdr:colOff>
      <xdr:row>0</xdr:row>
      <xdr:rowOff>105835</xdr:rowOff>
    </xdr:from>
    <xdr:to>
      <xdr:col>18</xdr:col>
      <xdr:colOff>109559</xdr:colOff>
      <xdr:row>3</xdr:row>
      <xdr:rowOff>74085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175747" y="105835"/>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101600</xdr:colOff>
          <xdr:row>3</xdr:row>
          <xdr:rowOff>63500</xdr:rowOff>
        </xdr:from>
        <xdr:to>
          <xdr:col>15</xdr:col>
          <xdr:colOff>495300</xdr:colOff>
          <xdr:row>4</xdr:row>
          <xdr:rowOff>76200</xdr:rowOff>
        </xdr:to>
        <xdr:sp macro="" textlink="">
          <xdr:nvSpPr>
            <xdr:cNvPr id="61441" name="Drop Down 1" hidden="1">
              <a:extLst>
                <a:ext uri="{63B3BB69-23CF-44E3-9099-C40C66FF867C}">
                  <a14:compatExt spid="_x0000_s61441"/>
                </a:ext>
                <a:ext uri="{FF2B5EF4-FFF2-40B4-BE49-F238E27FC236}">
                  <a16:creationId xmlns:a16="http://schemas.microsoft.com/office/drawing/2014/main" id="{00000000-0008-0000-04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39</xdr:row>
          <xdr:rowOff>50800</xdr:rowOff>
        </xdr:from>
        <xdr:to>
          <xdr:col>2</xdr:col>
          <xdr:colOff>1054100</xdr:colOff>
          <xdr:row>39</xdr:row>
          <xdr:rowOff>292100</xdr:rowOff>
        </xdr:to>
        <xdr:sp macro="" textlink="">
          <xdr:nvSpPr>
            <xdr:cNvPr id="61442" name="Drop Down 2" hidden="1">
              <a:extLst>
                <a:ext uri="{63B3BB69-23CF-44E3-9099-C40C66FF867C}">
                  <a14:compatExt spid="_x0000_s61442"/>
                </a:ext>
                <a:ext uri="{FF2B5EF4-FFF2-40B4-BE49-F238E27FC236}">
                  <a16:creationId xmlns:a16="http://schemas.microsoft.com/office/drawing/2014/main" id="{00000000-0008-0000-04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53</xdr:row>
          <xdr:rowOff>25400</xdr:rowOff>
        </xdr:from>
        <xdr:to>
          <xdr:col>3</xdr:col>
          <xdr:colOff>431800</xdr:colOff>
          <xdr:row>53</xdr:row>
          <xdr:rowOff>215900</xdr:rowOff>
        </xdr:to>
        <xdr:sp macro="" textlink="">
          <xdr:nvSpPr>
            <xdr:cNvPr id="61443" name="Drop Down 3" hidden="1">
              <a:extLst>
                <a:ext uri="{63B3BB69-23CF-44E3-9099-C40C66FF867C}">
                  <a14:compatExt spid="_x0000_s61443"/>
                </a:ext>
                <a:ext uri="{FF2B5EF4-FFF2-40B4-BE49-F238E27FC236}">
                  <a16:creationId xmlns:a16="http://schemas.microsoft.com/office/drawing/2014/main" id="{00000000-0008-0000-04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45</xdr:row>
          <xdr:rowOff>25400</xdr:rowOff>
        </xdr:from>
        <xdr:to>
          <xdr:col>3</xdr:col>
          <xdr:colOff>431800</xdr:colOff>
          <xdr:row>45</xdr:row>
          <xdr:rowOff>215900</xdr:rowOff>
        </xdr:to>
        <xdr:sp macro="" textlink="">
          <xdr:nvSpPr>
            <xdr:cNvPr id="61444" name="Drop Down 4" hidden="1">
              <a:extLst>
                <a:ext uri="{63B3BB69-23CF-44E3-9099-C40C66FF867C}">
                  <a14:compatExt spid="_x0000_s61444"/>
                </a:ext>
                <a:ext uri="{FF2B5EF4-FFF2-40B4-BE49-F238E27FC236}">
                  <a16:creationId xmlns:a16="http://schemas.microsoft.com/office/drawing/2014/main" id="{00000000-0008-0000-04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47</xdr:row>
          <xdr:rowOff>25400</xdr:rowOff>
        </xdr:from>
        <xdr:to>
          <xdr:col>3</xdr:col>
          <xdr:colOff>431800</xdr:colOff>
          <xdr:row>47</xdr:row>
          <xdr:rowOff>215900</xdr:rowOff>
        </xdr:to>
        <xdr:sp macro="" textlink="">
          <xdr:nvSpPr>
            <xdr:cNvPr id="61445" name="Drop Down 5" hidden="1">
              <a:extLst>
                <a:ext uri="{63B3BB69-23CF-44E3-9099-C40C66FF867C}">
                  <a14:compatExt spid="_x0000_s61445"/>
                </a:ext>
                <a:ext uri="{FF2B5EF4-FFF2-40B4-BE49-F238E27FC236}">
                  <a16:creationId xmlns:a16="http://schemas.microsoft.com/office/drawing/2014/main" id="{00000000-0008-0000-04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43</xdr:row>
          <xdr:rowOff>25400</xdr:rowOff>
        </xdr:from>
        <xdr:to>
          <xdr:col>3</xdr:col>
          <xdr:colOff>431800</xdr:colOff>
          <xdr:row>43</xdr:row>
          <xdr:rowOff>203200</xdr:rowOff>
        </xdr:to>
        <xdr:sp macro="" textlink="">
          <xdr:nvSpPr>
            <xdr:cNvPr id="61446" name="Drop Down 6" hidden="1">
              <a:extLst>
                <a:ext uri="{63B3BB69-23CF-44E3-9099-C40C66FF867C}">
                  <a14:compatExt spid="_x0000_s61446"/>
                </a:ext>
                <a:ext uri="{FF2B5EF4-FFF2-40B4-BE49-F238E27FC236}">
                  <a16:creationId xmlns:a16="http://schemas.microsoft.com/office/drawing/2014/main" id="{00000000-0008-0000-04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49</xdr:row>
          <xdr:rowOff>25400</xdr:rowOff>
        </xdr:from>
        <xdr:to>
          <xdr:col>3</xdr:col>
          <xdr:colOff>431800</xdr:colOff>
          <xdr:row>49</xdr:row>
          <xdr:rowOff>215900</xdr:rowOff>
        </xdr:to>
        <xdr:sp macro="" textlink="">
          <xdr:nvSpPr>
            <xdr:cNvPr id="61447" name="Drop Down 7" hidden="1">
              <a:extLst>
                <a:ext uri="{63B3BB69-23CF-44E3-9099-C40C66FF867C}">
                  <a14:compatExt spid="_x0000_s61447"/>
                </a:ext>
                <a:ext uri="{FF2B5EF4-FFF2-40B4-BE49-F238E27FC236}">
                  <a16:creationId xmlns:a16="http://schemas.microsoft.com/office/drawing/2014/main" id="{00000000-0008-0000-04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51</xdr:row>
          <xdr:rowOff>38100</xdr:rowOff>
        </xdr:from>
        <xdr:to>
          <xdr:col>3</xdr:col>
          <xdr:colOff>431800</xdr:colOff>
          <xdr:row>51</xdr:row>
          <xdr:rowOff>215900</xdr:rowOff>
        </xdr:to>
        <xdr:sp macro="" textlink="">
          <xdr:nvSpPr>
            <xdr:cNvPr id="61448" name="Drop Down 8" hidden="1">
              <a:extLst>
                <a:ext uri="{63B3BB69-23CF-44E3-9099-C40C66FF867C}">
                  <a14:compatExt spid="_x0000_s61448"/>
                </a:ext>
                <a:ext uri="{FF2B5EF4-FFF2-40B4-BE49-F238E27FC236}">
                  <a16:creationId xmlns:a16="http://schemas.microsoft.com/office/drawing/2014/main" id="{00000000-0008-0000-04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55</xdr:row>
          <xdr:rowOff>25400</xdr:rowOff>
        </xdr:from>
        <xdr:to>
          <xdr:col>3</xdr:col>
          <xdr:colOff>431800</xdr:colOff>
          <xdr:row>55</xdr:row>
          <xdr:rowOff>215900</xdr:rowOff>
        </xdr:to>
        <xdr:sp macro="" textlink="">
          <xdr:nvSpPr>
            <xdr:cNvPr id="61449" name="Drop Down 9" hidden="1">
              <a:extLst>
                <a:ext uri="{63B3BB69-23CF-44E3-9099-C40C66FF867C}">
                  <a14:compatExt spid="_x0000_s61449"/>
                </a:ext>
                <a:ext uri="{FF2B5EF4-FFF2-40B4-BE49-F238E27FC236}">
                  <a16:creationId xmlns:a16="http://schemas.microsoft.com/office/drawing/2014/main" id="{00000000-0008-0000-04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41</xdr:row>
          <xdr:rowOff>38100</xdr:rowOff>
        </xdr:from>
        <xdr:to>
          <xdr:col>4</xdr:col>
          <xdr:colOff>533400</xdr:colOff>
          <xdr:row>41</xdr:row>
          <xdr:rowOff>203200</xdr:rowOff>
        </xdr:to>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0400-00000A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101600</xdr:colOff>
          <xdr:row>39</xdr:row>
          <xdr:rowOff>63500</xdr:rowOff>
        </xdr:from>
        <xdr:to>
          <xdr:col>5</xdr:col>
          <xdr:colOff>266700</xdr:colOff>
          <xdr:row>39</xdr:row>
          <xdr:rowOff>279400</xdr:rowOff>
        </xdr:to>
        <xdr:sp macro="" textlink="">
          <xdr:nvSpPr>
            <xdr:cNvPr id="61453" name="Drop Down 13" hidden="1">
              <a:extLst>
                <a:ext uri="{63B3BB69-23CF-44E3-9099-C40C66FF867C}">
                  <a14:compatExt spid="_x0000_s61453"/>
                </a:ext>
                <a:ext uri="{FF2B5EF4-FFF2-40B4-BE49-F238E27FC236}">
                  <a16:creationId xmlns:a16="http://schemas.microsoft.com/office/drawing/2014/main" id="{00000000-0008-0000-0400-00000D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88900</xdr:colOff>
          <xdr:row>5</xdr:row>
          <xdr:rowOff>63500</xdr:rowOff>
        </xdr:from>
        <xdr:to>
          <xdr:col>16</xdr:col>
          <xdr:colOff>330200</xdr:colOff>
          <xdr:row>5</xdr:row>
          <xdr:rowOff>254000</xdr:rowOff>
        </xdr:to>
        <xdr:sp macro="" textlink="">
          <xdr:nvSpPr>
            <xdr:cNvPr id="61454" name="Drop Down 14" hidden="1">
              <a:extLst>
                <a:ext uri="{63B3BB69-23CF-44E3-9099-C40C66FF867C}">
                  <a14:compatExt spid="_x0000_s61454"/>
                </a:ext>
                <a:ext uri="{FF2B5EF4-FFF2-40B4-BE49-F238E27FC236}">
                  <a16:creationId xmlns:a16="http://schemas.microsoft.com/office/drawing/2014/main" id="{00000000-0008-0000-0400-00000E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1473200</xdr:colOff>
          <xdr:row>57</xdr:row>
          <xdr:rowOff>25400</xdr:rowOff>
        </xdr:from>
        <xdr:to>
          <xdr:col>3</xdr:col>
          <xdr:colOff>419100</xdr:colOff>
          <xdr:row>57</xdr:row>
          <xdr:rowOff>215900</xdr:rowOff>
        </xdr:to>
        <xdr:sp macro="" textlink="">
          <xdr:nvSpPr>
            <xdr:cNvPr id="61455" name="Drop Down 15" hidden="1">
              <a:extLst>
                <a:ext uri="{63B3BB69-23CF-44E3-9099-C40C66FF867C}">
                  <a14:compatExt spid="_x0000_s61455"/>
                </a:ext>
                <a:ext uri="{FF2B5EF4-FFF2-40B4-BE49-F238E27FC236}">
                  <a16:creationId xmlns:a16="http://schemas.microsoft.com/office/drawing/2014/main" id="{00000000-0008-0000-0400-00000F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59</xdr:row>
          <xdr:rowOff>25400</xdr:rowOff>
        </xdr:from>
        <xdr:to>
          <xdr:col>2</xdr:col>
          <xdr:colOff>863600</xdr:colOff>
          <xdr:row>59</xdr:row>
          <xdr:rowOff>215900</xdr:rowOff>
        </xdr:to>
        <xdr:sp macro="" textlink="">
          <xdr:nvSpPr>
            <xdr:cNvPr id="61456" name="Drop Down 16" hidden="1">
              <a:extLst>
                <a:ext uri="{63B3BB69-23CF-44E3-9099-C40C66FF867C}">
                  <a14:compatExt spid="_x0000_s61456"/>
                </a:ext>
                <a:ext uri="{FF2B5EF4-FFF2-40B4-BE49-F238E27FC236}">
                  <a16:creationId xmlns:a16="http://schemas.microsoft.com/office/drawing/2014/main" id="{00000000-0008-0000-0400-00001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0.64869</cdr:x>
      <cdr:y>0.44134</cdr:y>
    </cdr:from>
    <cdr:to>
      <cdr:x>0.8843</cdr:x>
      <cdr:y>0.70391</cdr:y>
    </cdr:to>
    <cdr:sp macro="" textlink="">
      <cdr:nvSpPr>
        <cdr:cNvPr id="3" name="CustomShape 1"/>
        <cdr:cNvSpPr/>
      </cdr:nvSpPr>
      <cdr:spPr>
        <a:xfrm xmlns:a="http://schemas.openxmlformats.org/drawingml/2006/main">
          <a:off x="3263553" y="1672167"/>
          <a:ext cx="1185346" cy="994834"/>
        </a:xfrm>
        <a:prstGeom xmlns:a="http://schemas.openxmlformats.org/drawingml/2006/main" prst="ellipse">
          <a:avLst/>
        </a:prstGeom>
        <a:noFill xmlns:a="http://schemas.openxmlformats.org/drawingml/2006/main"/>
        <a:ln xmlns:a="http://schemas.openxmlformats.org/drawingml/2006/main" w="36000" cap="rnd">
          <a:solidFill>
            <a:srgbClr val="00CC33"/>
          </a:solidFill>
          <a:custDash>
            <a:ds d="100000" sp="100000"/>
          </a:custDash>
          <a:round/>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txBody>
        <a:bodyPr xmlns:a="http://schemas.openxmlformats.org/drawingml/2006/main"/>
        <a:lstStyle xmlns:a="http://schemas.openxmlformats.org/drawingml/2006/main"/>
        <a:p xmlns:a="http://schemas.openxmlformats.org/drawingml/2006/main">
          <a:endParaRPr lang="en-US"/>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6</xdr:col>
      <xdr:colOff>254000</xdr:colOff>
      <xdr:row>1</xdr:row>
      <xdr:rowOff>31750</xdr:rowOff>
    </xdr:from>
    <xdr:to>
      <xdr:col>7</xdr:col>
      <xdr:colOff>596395</xdr:colOff>
      <xdr:row>5</xdr:row>
      <xdr:rowOff>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57333" y="190500"/>
          <a:ext cx="1252562" cy="603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76200</xdr:colOff>
          <xdr:row>29</xdr:row>
          <xdr:rowOff>38100</xdr:rowOff>
        </xdr:from>
        <xdr:to>
          <xdr:col>1</xdr:col>
          <xdr:colOff>2451100</xdr:colOff>
          <xdr:row>29</xdr:row>
          <xdr:rowOff>292100</xdr:rowOff>
        </xdr:to>
        <xdr:sp macro="" textlink="">
          <xdr:nvSpPr>
            <xdr:cNvPr id="44036" name="Drop Down 4" hidden="1">
              <a:extLst>
                <a:ext uri="{63B3BB69-23CF-44E3-9099-C40C66FF867C}">
                  <a14:compatExt spid="_x0000_s44036"/>
                </a:ext>
                <a:ext uri="{FF2B5EF4-FFF2-40B4-BE49-F238E27FC236}">
                  <a16:creationId xmlns:a16="http://schemas.microsoft.com/office/drawing/2014/main" id="{00000000-0008-0000-05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43</xdr:row>
          <xdr:rowOff>25400</xdr:rowOff>
        </xdr:from>
        <xdr:to>
          <xdr:col>3</xdr:col>
          <xdr:colOff>0</xdr:colOff>
          <xdr:row>43</xdr:row>
          <xdr:rowOff>215900</xdr:rowOff>
        </xdr:to>
        <xdr:sp macro="" textlink="">
          <xdr:nvSpPr>
            <xdr:cNvPr id="44037" name="Drop Down 5" hidden="1">
              <a:extLst>
                <a:ext uri="{63B3BB69-23CF-44E3-9099-C40C66FF867C}">
                  <a14:compatExt spid="_x0000_s44037"/>
                </a:ext>
                <a:ext uri="{FF2B5EF4-FFF2-40B4-BE49-F238E27FC236}">
                  <a16:creationId xmlns:a16="http://schemas.microsoft.com/office/drawing/2014/main" id="{00000000-0008-0000-05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35</xdr:row>
          <xdr:rowOff>25400</xdr:rowOff>
        </xdr:from>
        <xdr:to>
          <xdr:col>3</xdr:col>
          <xdr:colOff>0</xdr:colOff>
          <xdr:row>35</xdr:row>
          <xdr:rowOff>215900</xdr:rowOff>
        </xdr:to>
        <xdr:sp macro="" textlink="">
          <xdr:nvSpPr>
            <xdr:cNvPr id="44038" name="Drop Down 6" hidden="1">
              <a:extLst>
                <a:ext uri="{63B3BB69-23CF-44E3-9099-C40C66FF867C}">
                  <a14:compatExt spid="_x0000_s44038"/>
                </a:ext>
                <a:ext uri="{FF2B5EF4-FFF2-40B4-BE49-F238E27FC236}">
                  <a16:creationId xmlns:a16="http://schemas.microsoft.com/office/drawing/2014/main" id="{00000000-0008-0000-0500-000006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37</xdr:row>
          <xdr:rowOff>25400</xdr:rowOff>
        </xdr:from>
        <xdr:to>
          <xdr:col>3</xdr:col>
          <xdr:colOff>0</xdr:colOff>
          <xdr:row>37</xdr:row>
          <xdr:rowOff>215900</xdr:rowOff>
        </xdr:to>
        <xdr:sp macro="" textlink="">
          <xdr:nvSpPr>
            <xdr:cNvPr id="44039" name="Drop Down 7" hidden="1">
              <a:extLst>
                <a:ext uri="{63B3BB69-23CF-44E3-9099-C40C66FF867C}">
                  <a14:compatExt spid="_x0000_s44039"/>
                </a:ext>
                <a:ext uri="{FF2B5EF4-FFF2-40B4-BE49-F238E27FC236}">
                  <a16:creationId xmlns:a16="http://schemas.microsoft.com/office/drawing/2014/main" id="{00000000-0008-0000-0500-000007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33</xdr:row>
          <xdr:rowOff>25400</xdr:rowOff>
        </xdr:from>
        <xdr:to>
          <xdr:col>3</xdr:col>
          <xdr:colOff>0</xdr:colOff>
          <xdr:row>33</xdr:row>
          <xdr:rowOff>215900</xdr:rowOff>
        </xdr:to>
        <xdr:sp macro="" textlink="">
          <xdr:nvSpPr>
            <xdr:cNvPr id="44040" name="Drop Down 8" hidden="1">
              <a:extLst>
                <a:ext uri="{63B3BB69-23CF-44E3-9099-C40C66FF867C}">
                  <a14:compatExt spid="_x0000_s44040"/>
                </a:ext>
                <a:ext uri="{FF2B5EF4-FFF2-40B4-BE49-F238E27FC236}">
                  <a16:creationId xmlns:a16="http://schemas.microsoft.com/office/drawing/2014/main" id="{00000000-0008-0000-0500-000008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39</xdr:row>
          <xdr:rowOff>25400</xdr:rowOff>
        </xdr:from>
        <xdr:to>
          <xdr:col>3</xdr:col>
          <xdr:colOff>0</xdr:colOff>
          <xdr:row>39</xdr:row>
          <xdr:rowOff>228600</xdr:rowOff>
        </xdr:to>
        <xdr:sp macro="" textlink="">
          <xdr:nvSpPr>
            <xdr:cNvPr id="44041" name="Drop Down 9" hidden="1">
              <a:extLst>
                <a:ext uri="{63B3BB69-23CF-44E3-9099-C40C66FF867C}">
                  <a14:compatExt spid="_x0000_s44041"/>
                </a:ext>
                <a:ext uri="{FF2B5EF4-FFF2-40B4-BE49-F238E27FC236}">
                  <a16:creationId xmlns:a16="http://schemas.microsoft.com/office/drawing/2014/main" id="{00000000-0008-0000-0500-000009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41</xdr:row>
          <xdr:rowOff>25400</xdr:rowOff>
        </xdr:from>
        <xdr:to>
          <xdr:col>3</xdr:col>
          <xdr:colOff>0</xdr:colOff>
          <xdr:row>41</xdr:row>
          <xdr:rowOff>215900</xdr:rowOff>
        </xdr:to>
        <xdr:sp macro="" textlink="">
          <xdr:nvSpPr>
            <xdr:cNvPr id="44042" name="Drop Down 10" hidden="1">
              <a:extLst>
                <a:ext uri="{63B3BB69-23CF-44E3-9099-C40C66FF867C}">
                  <a14:compatExt spid="_x0000_s44042"/>
                </a:ext>
                <a:ext uri="{FF2B5EF4-FFF2-40B4-BE49-F238E27FC236}">
                  <a16:creationId xmlns:a16="http://schemas.microsoft.com/office/drawing/2014/main" id="{00000000-0008-0000-0500-00000A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45</xdr:row>
          <xdr:rowOff>25400</xdr:rowOff>
        </xdr:from>
        <xdr:to>
          <xdr:col>3</xdr:col>
          <xdr:colOff>0</xdr:colOff>
          <xdr:row>45</xdr:row>
          <xdr:rowOff>215900</xdr:rowOff>
        </xdr:to>
        <xdr:sp macro="" textlink="">
          <xdr:nvSpPr>
            <xdr:cNvPr id="44043" name="Drop Down 11" hidden="1">
              <a:extLst>
                <a:ext uri="{63B3BB69-23CF-44E3-9099-C40C66FF867C}">
                  <a14:compatExt spid="_x0000_s44043"/>
                </a:ext>
                <a:ext uri="{FF2B5EF4-FFF2-40B4-BE49-F238E27FC236}">
                  <a16:creationId xmlns:a16="http://schemas.microsoft.com/office/drawing/2014/main" id="{00000000-0008-0000-0500-00000B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177800</xdr:colOff>
          <xdr:row>31</xdr:row>
          <xdr:rowOff>38100</xdr:rowOff>
        </xdr:from>
        <xdr:to>
          <xdr:col>4</xdr:col>
          <xdr:colOff>711200</xdr:colOff>
          <xdr:row>31</xdr:row>
          <xdr:rowOff>203200</xdr:rowOff>
        </xdr:to>
        <xdr:sp macro="" textlink="">
          <xdr:nvSpPr>
            <xdr:cNvPr id="44044" name="Button 12" hidden="1">
              <a:extLst>
                <a:ext uri="{63B3BB69-23CF-44E3-9099-C40C66FF867C}">
                  <a14:compatExt spid="_x0000_s44044"/>
                </a:ext>
                <a:ext uri="{FF2B5EF4-FFF2-40B4-BE49-F238E27FC236}">
                  <a16:creationId xmlns:a16="http://schemas.microsoft.com/office/drawing/2014/main" id="{00000000-0008-0000-0500-00000C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47</xdr:row>
          <xdr:rowOff>25400</xdr:rowOff>
        </xdr:from>
        <xdr:to>
          <xdr:col>3</xdr:col>
          <xdr:colOff>0</xdr:colOff>
          <xdr:row>47</xdr:row>
          <xdr:rowOff>215900</xdr:rowOff>
        </xdr:to>
        <xdr:sp macro="" textlink="">
          <xdr:nvSpPr>
            <xdr:cNvPr id="44045" name="Drop Down 13" hidden="1">
              <a:extLst>
                <a:ext uri="{63B3BB69-23CF-44E3-9099-C40C66FF867C}">
                  <a14:compatExt spid="_x0000_s44045"/>
                </a:ext>
                <a:ext uri="{FF2B5EF4-FFF2-40B4-BE49-F238E27FC236}">
                  <a16:creationId xmlns:a16="http://schemas.microsoft.com/office/drawing/2014/main" id="{00000000-0008-0000-0500-00000D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1587500</xdr:colOff>
          <xdr:row>49</xdr:row>
          <xdr:rowOff>25400</xdr:rowOff>
        </xdr:from>
        <xdr:to>
          <xdr:col>2</xdr:col>
          <xdr:colOff>901700</xdr:colOff>
          <xdr:row>49</xdr:row>
          <xdr:rowOff>215900</xdr:rowOff>
        </xdr:to>
        <xdr:sp macro="" textlink="">
          <xdr:nvSpPr>
            <xdr:cNvPr id="44048" name="Drop Down 16" hidden="1">
              <a:extLst>
                <a:ext uri="{63B3BB69-23CF-44E3-9099-C40C66FF867C}">
                  <a14:compatExt spid="_x0000_s44048"/>
                </a:ext>
                <a:ext uri="{FF2B5EF4-FFF2-40B4-BE49-F238E27FC236}">
                  <a16:creationId xmlns:a16="http://schemas.microsoft.com/office/drawing/2014/main" id="{00000000-0008-0000-0500-000010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44822</xdr:colOff>
      <xdr:row>19</xdr:row>
      <xdr:rowOff>2720</xdr:rowOff>
    </xdr:from>
    <xdr:to>
      <xdr:col>9</xdr:col>
      <xdr:colOff>582705</xdr:colOff>
      <xdr:row>33</xdr:row>
      <xdr:rowOff>156881</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33618</xdr:colOff>
      <xdr:row>19</xdr:row>
      <xdr:rowOff>11205</xdr:rowOff>
    </xdr:from>
    <xdr:to>
      <xdr:col>20</xdr:col>
      <xdr:colOff>560294</xdr:colOff>
      <xdr:row>33</xdr:row>
      <xdr:rowOff>134470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101600</xdr:colOff>
          <xdr:row>3</xdr:row>
          <xdr:rowOff>50800</xdr:rowOff>
        </xdr:from>
        <xdr:to>
          <xdr:col>9</xdr:col>
          <xdr:colOff>508000</xdr:colOff>
          <xdr:row>3</xdr:row>
          <xdr:rowOff>254000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600-0000015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000" b="1" i="0" u="none" strike="noStrike" baseline="0">
                  <a:solidFill>
                    <a:srgbClr val="000000"/>
                  </a:solidFill>
                  <a:latin typeface="Arial" pitchFamily="2" charset="0"/>
                  <a:cs typeface="Arial" pitchFamily="2" charset="0"/>
                </a:rPr>
                <a:t>Compute Sensitivity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3</xdr:row>
          <xdr:rowOff>50800</xdr:rowOff>
        </xdr:from>
        <xdr:to>
          <xdr:col>5</xdr:col>
          <xdr:colOff>520700</xdr:colOff>
          <xdr:row>3</xdr:row>
          <xdr:rowOff>254000</xdr:rowOff>
        </xdr:to>
        <xdr:sp macro="" textlink="">
          <xdr:nvSpPr>
            <xdr:cNvPr id="88066" name="Drop Down 2" hidden="1">
              <a:extLst>
                <a:ext uri="{63B3BB69-23CF-44E3-9099-C40C66FF867C}">
                  <a14:compatExt spid="_x0000_s88066"/>
                </a:ext>
                <a:ext uri="{FF2B5EF4-FFF2-40B4-BE49-F238E27FC236}">
                  <a16:creationId xmlns:a16="http://schemas.microsoft.com/office/drawing/2014/main" id="{00000000-0008-0000-06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18</xdr:col>
      <xdr:colOff>212912</xdr:colOff>
      <xdr:row>0</xdr:row>
      <xdr:rowOff>156882</xdr:rowOff>
    </xdr:from>
    <xdr:to>
      <xdr:col>20</xdr:col>
      <xdr:colOff>255238</xdr:colOff>
      <xdr:row>4</xdr:row>
      <xdr:rowOff>9338</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41441" y="156882"/>
          <a:ext cx="1252562" cy="6032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547687</xdr:colOff>
      <xdr:row>1</xdr:row>
      <xdr:rowOff>47625</xdr:rowOff>
    </xdr:from>
    <xdr:to>
      <xdr:col>10</xdr:col>
      <xdr:colOff>442938</xdr:colOff>
      <xdr:row>5</xdr:row>
      <xdr:rowOff>7937</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5562" y="238125"/>
          <a:ext cx="1266850" cy="59848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88900</xdr:colOff>
          <xdr:row>11</xdr:row>
          <xdr:rowOff>63500</xdr:rowOff>
        </xdr:from>
        <xdr:to>
          <xdr:col>2</xdr:col>
          <xdr:colOff>1701800</xdr:colOff>
          <xdr:row>12</xdr:row>
          <xdr:rowOff>139700</xdr:rowOff>
        </xdr:to>
        <xdr:sp macro="" textlink="">
          <xdr:nvSpPr>
            <xdr:cNvPr id="57351" name="Drop Down 7" hidden="1">
              <a:extLst>
                <a:ext uri="{63B3BB69-23CF-44E3-9099-C40C66FF867C}">
                  <a14:compatExt spid="_x0000_s57351"/>
                </a:ext>
                <a:ext uri="{FF2B5EF4-FFF2-40B4-BE49-F238E27FC236}">
                  <a16:creationId xmlns:a16="http://schemas.microsoft.com/office/drawing/2014/main" id="{00000000-0008-0000-07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131</xdr:row>
          <xdr:rowOff>25400</xdr:rowOff>
        </xdr:from>
        <xdr:to>
          <xdr:col>4</xdr:col>
          <xdr:colOff>635000</xdr:colOff>
          <xdr:row>131</xdr:row>
          <xdr:rowOff>203200</xdr:rowOff>
        </xdr:to>
        <xdr:sp macro="" textlink="">
          <xdr:nvSpPr>
            <xdr:cNvPr id="57352" name="Drop Down 8" hidden="1">
              <a:extLst>
                <a:ext uri="{63B3BB69-23CF-44E3-9099-C40C66FF867C}">
                  <a14:compatExt spid="_x0000_s57352"/>
                </a:ext>
                <a:ext uri="{FF2B5EF4-FFF2-40B4-BE49-F238E27FC236}">
                  <a16:creationId xmlns:a16="http://schemas.microsoft.com/office/drawing/2014/main" id="{00000000-0008-0000-07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698500</xdr:colOff>
          <xdr:row>6</xdr:row>
          <xdr:rowOff>38100</xdr:rowOff>
        </xdr:from>
        <xdr:to>
          <xdr:col>2</xdr:col>
          <xdr:colOff>1587500</xdr:colOff>
          <xdr:row>6</xdr:row>
          <xdr:rowOff>215900</xdr:rowOff>
        </xdr:to>
        <xdr:sp macro="" textlink="">
          <xdr:nvSpPr>
            <xdr:cNvPr id="57353" name="Drop Down 9" hidden="1">
              <a:extLst>
                <a:ext uri="{63B3BB69-23CF-44E3-9099-C40C66FF867C}">
                  <a14:compatExt spid="_x0000_s57353"/>
                </a:ext>
                <a:ext uri="{FF2B5EF4-FFF2-40B4-BE49-F238E27FC236}">
                  <a16:creationId xmlns:a16="http://schemas.microsoft.com/office/drawing/2014/main" id="{00000000-0008-0000-07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145</xdr:row>
          <xdr:rowOff>25400</xdr:rowOff>
        </xdr:from>
        <xdr:to>
          <xdr:col>2</xdr:col>
          <xdr:colOff>1574800</xdr:colOff>
          <xdr:row>145</xdr:row>
          <xdr:rowOff>215900</xdr:rowOff>
        </xdr:to>
        <xdr:sp macro="" textlink="">
          <xdr:nvSpPr>
            <xdr:cNvPr id="57356" name="Drop Down 12" hidden="1">
              <a:extLst>
                <a:ext uri="{63B3BB69-23CF-44E3-9099-C40C66FF867C}">
                  <a14:compatExt spid="_x0000_s57356"/>
                </a:ext>
                <a:ext uri="{FF2B5EF4-FFF2-40B4-BE49-F238E27FC236}">
                  <a16:creationId xmlns:a16="http://schemas.microsoft.com/office/drawing/2014/main" id="{00000000-0008-0000-0700-00000C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137</xdr:row>
          <xdr:rowOff>25400</xdr:rowOff>
        </xdr:from>
        <xdr:to>
          <xdr:col>2</xdr:col>
          <xdr:colOff>1676400</xdr:colOff>
          <xdr:row>137</xdr:row>
          <xdr:rowOff>215900</xdr:rowOff>
        </xdr:to>
        <xdr:sp macro="" textlink="">
          <xdr:nvSpPr>
            <xdr:cNvPr id="57357" name="Drop Down 13" hidden="1">
              <a:extLst>
                <a:ext uri="{63B3BB69-23CF-44E3-9099-C40C66FF867C}">
                  <a14:compatExt spid="_x0000_s57357"/>
                </a:ext>
                <a:ext uri="{FF2B5EF4-FFF2-40B4-BE49-F238E27FC236}">
                  <a16:creationId xmlns:a16="http://schemas.microsoft.com/office/drawing/2014/main" id="{00000000-0008-0000-0700-00000D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139</xdr:row>
          <xdr:rowOff>25400</xdr:rowOff>
        </xdr:from>
        <xdr:to>
          <xdr:col>4</xdr:col>
          <xdr:colOff>0</xdr:colOff>
          <xdr:row>139</xdr:row>
          <xdr:rowOff>215900</xdr:rowOff>
        </xdr:to>
        <xdr:sp macro="" textlink="">
          <xdr:nvSpPr>
            <xdr:cNvPr id="57358" name="Drop Down 14" hidden="1">
              <a:extLst>
                <a:ext uri="{63B3BB69-23CF-44E3-9099-C40C66FF867C}">
                  <a14:compatExt spid="_x0000_s57358"/>
                </a:ext>
                <a:ext uri="{FF2B5EF4-FFF2-40B4-BE49-F238E27FC236}">
                  <a16:creationId xmlns:a16="http://schemas.microsoft.com/office/drawing/2014/main" id="{00000000-0008-0000-0700-00000E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135</xdr:row>
          <xdr:rowOff>25400</xdr:rowOff>
        </xdr:from>
        <xdr:to>
          <xdr:col>2</xdr:col>
          <xdr:colOff>1714500</xdr:colOff>
          <xdr:row>135</xdr:row>
          <xdr:rowOff>203200</xdr:rowOff>
        </xdr:to>
        <xdr:sp macro="" textlink="">
          <xdr:nvSpPr>
            <xdr:cNvPr id="57359" name="Drop Down 15" hidden="1">
              <a:extLst>
                <a:ext uri="{63B3BB69-23CF-44E3-9099-C40C66FF867C}">
                  <a14:compatExt spid="_x0000_s57359"/>
                </a:ext>
                <a:ext uri="{FF2B5EF4-FFF2-40B4-BE49-F238E27FC236}">
                  <a16:creationId xmlns:a16="http://schemas.microsoft.com/office/drawing/2014/main" id="{00000000-0008-0000-0700-00000F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141</xdr:row>
          <xdr:rowOff>25400</xdr:rowOff>
        </xdr:from>
        <xdr:to>
          <xdr:col>2</xdr:col>
          <xdr:colOff>1676400</xdr:colOff>
          <xdr:row>141</xdr:row>
          <xdr:rowOff>215900</xdr:rowOff>
        </xdr:to>
        <xdr:sp macro="" textlink="">
          <xdr:nvSpPr>
            <xdr:cNvPr id="57360" name="Drop Down 16" hidden="1">
              <a:extLst>
                <a:ext uri="{63B3BB69-23CF-44E3-9099-C40C66FF867C}">
                  <a14:compatExt spid="_x0000_s57360"/>
                </a:ext>
                <a:ext uri="{FF2B5EF4-FFF2-40B4-BE49-F238E27FC236}">
                  <a16:creationId xmlns:a16="http://schemas.microsoft.com/office/drawing/2014/main" id="{00000000-0008-0000-0700-000010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143</xdr:row>
          <xdr:rowOff>25400</xdr:rowOff>
        </xdr:from>
        <xdr:to>
          <xdr:col>2</xdr:col>
          <xdr:colOff>1485900</xdr:colOff>
          <xdr:row>143</xdr:row>
          <xdr:rowOff>215900</xdr:rowOff>
        </xdr:to>
        <xdr:sp macro="" textlink="">
          <xdr:nvSpPr>
            <xdr:cNvPr id="57361" name="Drop Down 17" hidden="1">
              <a:extLst>
                <a:ext uri="{63B3BB69-23CF-44E3-9099-C40C66FF867C}">
                  <a14:compatExt spid="_x0000_s57361"/>
                </a:ext>
                <a:ext uri="{FF2B5EF4-FFF2-40B4-BE49-F238E27FC236}">
                  <a16:creationId xmlns:a16="http://schemas.microsoft.com/office/drawing/2014/main" id="{00000000-0008-0000-0700-00001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147</xdr:row>
          <xdr:rowOff>25400</xdr:rowOff>
        </xdr:from>
        <xdr:to>
          <xdr:col>2</xdr:col>
          <xdr:colOff>1384300</xdr:colOff>
          <xdr:row>147</xdr:row>
          <xdr:rowOff>215900</xdr:rowOff>
        </xdr:to>
        <xdr:sp macro="" textlink="">
          <xdr:nvSpPr>
            <xdr:cNvPr id="57362" name="Drop Down 18" hidden="1">
              <a:extLst>
                <a:ext uri="{63B3BB69-23CF-44E3-9099-C40C66FF867C}">
                  <a14:compatExt spid="_x0000_s57362"/>
                </a:ext>
                <a:ext uri="{FF2B5EF4-FFF2-40B4-BE49-F238E27FC236}">
                  <a16:creationId xmlns:a16="http://schemas.microsoft.com/office/drawing/2014/main" id="{00000000-0008-0000-0700-00001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685800</xdr:colOff>
          <xdr:row>8</xdr:row>
          <xdr:rowOff>38100</xdr:rowOff>
        </xdr:from>
        <xdr:to>
          <xdr:col>3</xdr:col>
          <xdr:colOff>558800</xdr:colOff>
          <xdr:row>8</xdr:row>
          <xdr:rowOff>215900</xdr:rowOff>
        </xdr:to>
        <xdr:sp macro="" textlink="">
          <xdr:nvSpPr>
            <xdr:cNvPr id="57364" name="Drop Down 20" hidden="1">
              <a:extLst>
                <a:ext uri="{63B3BB69-23CF-44E3-9099-C40C66FF867C}">
                  <a14:compatExt spid="_x0000_s57364"/>
                </a:ext>
                <a:ext uri="{FF2B5EF4-FFF2-40B4-BE49-F238E27FC236}">
                  <a16:creationId xmlns:a16="http://schemas.microsoft.com/office/drawing/2014/main" id="{00000000-0008-0000-0700-00001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101600</xdr:colOff>
          <xdr:row>132</xdr:row>
          <xdr:rowOff>279400</xdr:rowOff>
        </xdr:from>
        <xdr:to>
          <xdr:col>4</xdr:col>
          <xdr:colOff>635000</xdr:colOff>
          <xdr:row>134</xdr:row>
          <xdr:rowOff>12700</xdr:rowOff>
        </xdr:to>
        <xdr:sp macro="" textlink="">
          <xdr:nvSpPr>
            <xdr:cNvPr id="57365" name="Button 21" hidden="1">
              <a:extLst>
                <a:ext uri="{63B3BB69-23CF-44E3-9099-C40C66FF867C}">
                  <a14:compatExt spid="_x0000_s57365"/>
                </a:ext>
                <a:ext uri="{FF2B5EF4-FFF2-40B4-BE49-F238E27FC236}">
                  <a16:creationId xmlns:a16="http://schemas.microsoft.com/office/drawing/2014/main" id="{00000000-0008-0000-0700-000015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900" b="1" i="0" u="none" strike="noStrike" baseline="0">
                  <a:solidFill>
                    <a:srgbClr val="000000"/>
                  </a:solidFill>
                  <a:latin typeface="Arial" pitchFamily="2" charset="0"/>
                  <a:cs typeface="Arial" pitchFamily="2" charset="0"/>
                </a:rPr>
                <a:t>Set Nominal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149</xdr:row>
          <xdr:rowOff>25400</xdr:rowOff>
        </xdr:from>
        <xdr:to>
          <xdr:col>2</xdr:col>
          <xdr:colOff>1511300</xdr:colOff>
          <xdr:row>149</xdr:row>
          <xdr:rowOff>228600</xdr:rowOff>
        </xdr:to>
        <xdr:sp macro="" textlink="">
          <xdr:nvSpPr>
            <xdr:cNvPr id="57366" name="Drop Down 22" hidden="1">
              <a:extLst>
                <a:ext uri="{63B3BB69-23CF-44E3-9099-C40C66FF867C}">
                  <a14:compatExt spid="_x0000_s57366"/>
                </a:ext>
                <a:ext uri="{FF2B5EF4-FFF2-40B4-BE49-F238E27FC236}">
                  <a16:creationId xmlns:a16="http://schemas.microsoft.com/office/drawing/2014/main" id="{00000000-0008-0000-0700-00001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863600</xdr:colOff>
          <xdr:row>151</xdr:row>
          <xdr:rowOff>25400</xdr:rowOff>
        </xdr:from>
        <xdr:to>
          <xdr:col>2</xdr:col>
          <xdr:colOff>1727200</xdr:colOff>
          <xdr:row>151</xdr:row>
          <xdr:rowOff>215900</xdr:rowOff>
        </xdr:to>
        <xdr:sp macro="" textlink="">
          <xdr:nvSpPr>
            <xdr:cNvPr id="57367" name="Drop Down 23" hidden="1">
              <a:extLst>
                <a:ext uri="{63B3BB69-23CF-44E3-9099-C40C66FF867C}">
                  <a14:compatExt spid="_x0000_s57367"/>
                </a:ext>
                <a:ext uri="{FF2B5EF4-FFF2-40B4-BE49-F238E27FC236}">
                  <a16:creationId xmlns:a16="http://schemas.microsoft.com/office/drawing/2014/main" id="{00000000-0008-0000-0700-00001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6</xdr:row>
          <xdr:rowOff>63500</xdr:rowOff>
        </xdr:from>
        <xdr:to>
          <xdr:col>8</xdr:col>
          <xdr:colOff>927100</xdr:colOff>
          <xdr:row>7</xdr:row>
          <xdr:rowOff>63500</xdr:rowOff>
        </xdr:to>
        <xdr:sp macro="" textlink="">
          <xdr:nvSpPr>
            <xdr:cNvPr id="113666" name="Drop Down 2" hidden="1">
              <a:extLst>
                <a:ext uri="{63B3BB69-23CF-44E3-9099-C40C66FF867C}">
                  <a14:compatExt spid="_x0000_s113666"/>
                </a:ext>
                <a:ext uri="{FF2B5EF4-FFF2-40B4-BE49-F238E27FC236}">
                  <a16:creationId xmlns:a16="http://schemas.microsoft.com/office/drawing/2014/main" id="{00000000-0008-0000-08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254000</xdr:colOff>
          <xdr:row>5</xdr:row>
          <xdr:rowOff>241300</xdr:rowOff>
        </xdr:from>
        <xdr:to>
          <xdr:col>17</xdr:col>
          <xdr:colOff>381000</xdr:colOff>
          <xdr:row>6</xdr:row>
          <xdr:rowOff>203200</xdr:rowOff>
        </xdr:to>
        <xdr:sp macro="" textlink="">
          <xdr:nvSpPr>
            <xdr:cNvPr id="113667" name="Drop Down 3" hidden="1">
              <a:extLst>
                <a:ext uri="{63B3BB69-23CF-44E3-9099-C40C66FF867C}">
                  <a14:compatExt spid="_x0000_s113667"/>
                </a:ext>
                <a:ext uri="{FF2B5EF4-FFF2-40B4-BE49-F238E27FC236}">
                  <a16:creationId xmlns:a16="http://schemas.microsoft.com/office/drawing/2014/main" id="{00000000-0008-0000-08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12</xdr:col>
      <xdr:colOff>404813</xdr:colOff>
      <xdr:row>1</xdr:row>
      <xdr:rowOff>130969</xdr:rowOff>
    </xdr:from>
    <xdr:to>
      <xdr:col>14</xdr:col>
      <xdr:colOff>419126</xdr:colOff>
      <xdr:row>3</xdr:row>
      <xdr:rowOff>42334</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58163" y="130969"/>
          <a:ext cx="1243037" cy="59610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63500</xdr:colOff>
          <xdr:row>2</xdr:row>
          <xdr:rowOff>38100</xdr:rowOff>
        </xdr:from>
        <xdr:to>
          <xdr:col>6</xdr:col>
          <xdr:colOff>469900</xdr:colOff>
          <xdr:row>2</xdr:row>
          <xdr:rowOff>215900</xdr:rowOff>
        </xdr:to>
        <xdr:sp macro="" textlink="">
          <xdr:nvSpPr>
            <xdr:cNvPr id="58372" name="Drop Down 4" hidden="1">
              <a:extLst>
                <a:ext uri="{63B3BB69-23CF-44E3-9099-C40C66FF867C}">
                  <a14:compatExt spid="_x0000_s58372"/>
                </a:ext>
                <a:ext uri="{FF2B5EF4-FFF2-40B4-BE49-F238E27FC236}">
                  <a16:creationId xmlns:a16="http://schemas.microsoft.com/office/drawing/2014/main" id="{00000000-0008-0000-09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1574800</xdr:colOff>
          <xdr:row>61</xdr:row>
          <xdr:rowOff>25400</xdr:rowOff>
        </xdr:from>
        <xdr:to>
          <xdr:col>3</xdr:col>
          <xdr:colOff>2222500</xdr:colOff>
          <xdr:row>61</xdr:row>
          <xdr:rowOff>215900</xdr:rowOff>
        </xdr:to>
        <xdr:sp macro="" textlink="">
          <xdr:nvSpPr>
            <xdr:cNvPr id="58373" name="Drop Down 5" hidden="1">
              <a:extLst>
                <a:ext uri="{63B3BB69-23CF-44E3-9099-C40C66FF867C}">
                  <a14:compatExt spid="_x0000_s58373"/>
                </a:ext>
                <a:ext uri="{FF2B5EF4-FFF2-40B4-BE49-F238E27FC236}">
                  <a16:creationId xmlns:a16="http://schemas.microsoft.com/office/drawing/2014/main" id="{00000000-0008-0000-09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1549400</xdr:colOff>
          <xdr:row>63</xdr:row>
          <xdr:rowOff>25400</xdr:rowOff>
        </xdr:from>
        <xdr:to>
          <xdr:col>3</xdr:col>
          <xdr:colOff>2197100</xdr:colOff>
          <xdr:row>63</xdr:row>
          <xdr:rowOff>215900</xdr:rowOff>
        </xdr:to>
        <xdr:sp macro="" textlink="">
          <xdr:nvSpPr>
            <xdr:cNvPr id="58374" name="Drop Down 6" hidden="1">
              <a:extLst>
                <a:ext uri="{63B3BB69-23CF-44E3-9099-C40C66FF867C}">
                  <a14:compatExt spid="_x0000_s58374"/>
                </a:ext>
                <a:ext uri="{FF2B5EF4-FFF2-40B4-BE49-F238E27FC236}">
                  <a16:creationId xmlns:a16="http://schemas.microsoft.com/office/drawing/2014/main" id="{00000000-0008-0000-09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254000</xdr:colOff>
          <xdr:row>67</xdr:row>
          <xdr:rowOff>25400</xdr:rowOff>
        </xdr:from>
        <xdr:to>
          <xdr:col>12</xdr:col>
          <xdr:colOff>266700</xdr:colOff>
          <xdr:row>68</xdr:row>
          <xdr:rowOff>114300</xdr:rowOff>
        </xdr:to>
        <xdr:sp macro="" textlink="">
          <xdr:nvSpPr>
            <xdr:cNvPr id="58375" name="Button 7" hidden="1">
              <a:extLst>
                <a:ext uri="{63B3BB69-23CF-44E3-9099-C40C66FF867C}">
                  <a14:compatExt spid="_x0000_s58375"/>
                </a:ext>
                <a:ext uri="{FF2B5EF4-FFF2-40B4-BE49-F238E27FC236}">
                  <a16:creationId xmlns:a16="http://schemas.microsoft.com/office/drawing/2014/main" id="{00000000-0008-0000-0900-000007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fr-FR" sz="1000" b="1" i="0" u="none" strike="noStrike" baseline="0">
                  <a:solidFill>
                    <a:srgbClr val="000000"/>
                  </a:solidFill>
                  <a:latin typeface="Arial" pitchFamily="2" charset="0"/>
                  <a:cs typeface="Arial" pitchFamily="2" charset="0"/>
                </a:rPr>
                <a:t>Compute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254000</xdr:colOff>
          <xdr:row>2</xdr:row>
          <xdr:rowOff>38100</xdr:rowOff>
        </xdr:from>
        <xdr:to>
          <xdr:col>11</xdr:col>
          <xdr:colOff>508000</xdr:colOff>
          <xdr:row>2</xdr:row>
          <xdr:rowOff>203200</xdr:rowOff>
        </xdr:to>
        <xdr:sp macro="" textlink="">
          <xdr:nvSpPr>
            <xdr:cNvPr id="58376" name="Drop Down 8" hidden="1">
              <a:extLst>
                <a:ext uri="{63B3BB69-23CF-44E3-9099-C40C66FF867C}">
                  <a14:compatExt spid="_x0000_s58376"/>
                </a:ext>
                <a:ext uri="{FF2B5EF4-FFF2-40B4-BE49-F238E27FC236}">
                  <a16:creationId xmlns:a16="http://schemas.microsoft.com/office/drawing/2014/main" id="{00000000-0008-0000-09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101600</xdr:colOff>
          <xdr:row>9</xdr:row>
          <xdr:rowOff>50800</xdr:rowOff>
        </xdr:from>
        <xdr:to>
          <xdr:col>3</xdr:col>
          <xdr:colOff>647700</xdr:colOff>
          <xdr:row>9</xdr:row>
          <xdr:rowOff>215900</xdr:rowOff>
        </xdr:to>
        <xdr:sp macro="" textlink="">
          <xdr:nvSpPr>
            <xdr:cNvPr id="86017" name="Drop Down 1" hidden="1">
              <a:extLst>
                <a:ext uri="{63B3BB69-23CF-44E3-9099-C40C66FF867C}">
                  <a14:compatExt spid="_x0000_s86017"/>
                </a:ext>
                <a:ext uri="{FF2B5EF4-FFF2-40B4-BE49-F238E27FC236}">
                  <a16:creationId xmlns:a16="http://schemas.microsoft.com/office/drawing/2014/main" id="{00000000-0008-0000-0A00-000001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9</xdr:row>
          <xdr:rowOff>50800</xdr:rowOff>
        </xdr:from>
        <xdr:to>
          <xdr:col>6</xdr:col>
          <xdr:colOff>952500</xdr:colOff>
          <xdr:row>9</xdr:row>
          <xdr:rowOff>215900</xdr:rowOff>
        </xdr:to>
        <xdr:sp macro="" textlink="">
          <xdr:nvSpPr>
            <xdr:cNvPr id="86018" name="Drop Down 2" hidden="1">
              <a:extLst>
                <a:ext uri="{63B3BB69-23CF-44E3-9099-C40C66FF867C}">
                  <a14:compatExt spid="_x0000_s86018"/>
                </a:ext>
                <a:ext uri="{FF2B5EF4-FFF2-40B4-BE49-F238E27FC236}">
                  <a16:creationId xmlns:a16="http://schemas.microsoft.com/office/drawing/2014/main" id="{00000000-0008-0000-0A00-000002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63500</xdr:colOff>
          <xdr:row>9</xdr:row>
          <xdr:rowOff>63500</xdr:rowOff>
        </xdr:from>
        <xdr:to>
          <xdr:col>21</xdr:col>
          <xdr:colOff>939800</xdr:colOff>
          <xdr:row>9</xdr:row>
          <xdr:rowOff>190500</xdr:rowOff>
        </xdr:to>
        <xdr:sp macro="" textlink="">
          <xdr:nvSpPr>
            <xdr:cNvPr id="86019" name="Drop Down 3" hidden="1">
              <a:extLst>
                <a:ext uri="{63B3BB69-23CF-44E3-9099-C40C66FF867C}">
                  <a14:compatExt spid="_x0000_s86019"/>
                </a:ext>
                <a:ext uri="{FF2B5EF4-FFF2-40B4-BE49-F238E27FC236}">
                  <a16:creationId xmlns:a16="http://schemas.microsoft.com/office/drawing/2014/main" id="{00000000-0008-0000-0A00-000003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63500</xdr:colOff>
          <xdr:row>9</xdr:row>
          <xdr:rowOff>50800</xdr:rowOff>
        </xdr:from>
        <xdr:to>
          <xdr:col>9</xdr:col>
          <xdr:colOff>571500</xdr:colOff>
          <xdr:row>9</xdr:row>
          <xdr:rowOff>215900</xdr:rowOff>
        </xdr:to>
        <xdr:sp macro="" textlink="">
          <xdr:nvSpPr>
            <xdr:cNvPr id="86021" name="Drop Down 5" hidden="1">
              <a:extLst>
                <a:ext uri="{63B3BB69-23CF-44E3-9099-C40C66FF867C}">
                  <a14:compatExt spid="_x0000_s86021"/>
                </a:ext>
                <a:ext uri="{FF2B5EF4-FFF2-40B4-BE49-F238E27FC236}">
                  <a16:creationId xmlns:a16="http://schemas.microsoft.com/office/drawing/2014/main" id="{00000000-0008-0000-0A00-000005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63500</xdr:colOff>
          <xdr:row>9</xdr:row>
          <xdr:rowOff>50800</xdr:rowOff>
        </xdr:from>
        <xdr:to>
          <xdr:col>24</xdr:col>
          <xdr:colOff>1371600</xdr:colOff>
          <xdr:row>9</xdr:row>
          <xdr:rowOff>190500</xdr:rowOff>
        </xdr:to>
        <xdr:sp macro="" textlink="">
          <xdr:nvSpPr>
            <xdr:cNvPr id="86022" name="Drop Down 6" hidden="1">
              <a:extLst>
                <a:ext uri="{63B3BB69-23CF-44E3-9099-C40C66FF867C}">
                  <a14:compatExt spid="_x0000_s86022"/>
                </a:ext>
                <a:ext uri="{FF2B5EF4-FFF2-40B4-BE49-F238E27FC236}">
                  <a16:creationId xmlns:a16="http://schemas.microsoft.com/office/drawing/2014/main" id="{00000000-0008-0000-0A00-000006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9</xdr:row>
          <xdr:rowOff>38100</xdr:rowOff>
        </xdr:from>
        <xdr:to>
          <xdr:col>16</xdr:col>
          <xdr:colOff>444500</xdr:colOff>
          <xdr:row>9</xdr:row>
          <xdr:rowOff>254000</xdr:rowOff>
        </xdr:to>
        <xdr:sp macro="" textlink="">
          <xdr:nvSpPr>
            <xdr:cNvPr id="86024" name="Drop Down 8" hidden="1">
              <a:extLst>
                <a:ext uri="{63B3BB69-23CF-44E3-9099-C40C66FF867C}">
                  <a14:compatExt spid="_x0000_s86024"/>
                </a:ext>
                <a:ext uri="{FF2B5EF4-FFF2-40B4-BE49-F238E27FC236}">
                  <a16:creationId xmlns:a16="http://schemas.microsoft.com/office/drawing/2014/main" id="{00000000-0008-0000-0A00-000008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63500</xdr:colOff>
          <xdr:row>9</xdr:row>
          <xdr:rowOff>50800</xdr:rowOff>
        </xdr:from>
        <xdr:to>
          <xdr:col>32</xdr:col>
          <xdr:colOff>596900</xdr:colOff>
          <xdr:row>9</xdr:row>
          <xdr:rowOff>190500</xdr:rowOff>
        </xdr:to>
        <xdr:sp macro="" textlink="">
          <xdr:nvSpPr>
            <xdr:cNvPr id="86025" name="Drop Down 9" hidden="1">
              <a:extLst>
                <a:ext uri="{63B3BB69-23CF-44E3-9099-C40C66FF867C}">
                  <a14:compatExt spid="_x0000_s86025"/>
                </a:ext>
                <a:ext uri="{FF2B5EF4-FFF2-40B4-BE49-F238E27FC236}">
                  <a16:creationId xmlns:a16="http://schemas.microsoft.com/office/drawing/2014/main" id="{00000000-0008-0000-0A00-000009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63500</xdr:colOff>
          <xdr:row>9</xdr:row>
          <xdr:rowOff>63500</xdr:rowOff>
        </xdr:from>
        <xdr:to>
          <xdr:col>35</xdr:col>
          <xdr:colOff>939800</xdr:colOff>
          <xdr:row>9</xdr:row>
          <xdr:rowOff>203200</xdr:rowOff>
        </xdr:to>
        <xdr:sp macro="" textlink="">
          <xdr:nvSpPr>
            <xdr:cNvPr id="86026" name="Drop Down 10" hidden="1">
              <a:extLst>
                <a:ext uri="{63B3BB69-23CF-44E3-9099-C40C66FF867C}">
                  <a14:compatExt spid="_x0000_s86026"/>
                </a:ext>
                <a:ext uri="{FF2B5EF4-FFF2-40B4-BE49-F238E27FC236}">
                  <a16:creationId xmlns:a16="http://schemas.microsoft.com/office/drawing/2014/main" id="{00000000-0008-0000-0A00-00000A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38100</xdr:rowOff>
        </xdr:from>
        <xdr:to>
          <xdr:col>12</xdr:col>
          <xdr:colOff>584200</xdr:colOff>
          <xdr:row>9</xdr:row>
          <xdr:rowOff>190500</xdr:rowOff>
        </xdr:to>
        <xdr:sp macro="" textlink="">
          <xdr:nvSpPr>
            <xdr:cNvPr id="86027" name="Drop Down 11" hidden="1">
              <a:extLst>
                <a:ext uri="{63B3BB69-23CF-44E3-9099-C40C66FF867C}">
                  <a14:compatExt spid="_x0000_s86027"/>
                </a:ext>
                <a:ext uri="{FF2B5EF4-FFF2-40B4-BE49-F238E27FC236}">
                  <a16:creationId xmlns:a16="http://schemas.microsoft.com/office/drawing/2014/main" id="{00000000-0008-0000-0A00-00000B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9</xdr:row>
          <xdr:rowOff>50800</xdr:rowOff>
        </xdr:from>
        <xdr:to>
          <xdr:col>41</xdr:col>
          <xdr:colOff>698500</xdr:colOff>
          <xdr:row>9</xdr:row>
          <xdr:rowOff>215900</xdr:rowOff>
        </xdr:to>
        <xdr:sp macro="" textlink="">
          <xdr:nvSpPr>
            <xdr:cNvPr id="86028" name="Drop Down 12" hidden="1">
              <a:extLst>
                <a:ext uri="{63B3BB69-23CF-44E3-9099-C40C66FF867C}">
                  <a14:compatExt spid="_x0000_s86028"/>
                </a:ext>
                <a:ext uri="{FF2B5EF4-FFF2-40B4-BE49-F238E27FC236}">
                  <a16:creationId xmlns:a16="http://schemas.microsoft.com/office/drawing/2014/main" id="{00000000-0008-0000-0A00-00000C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63500</xdr:colOff>
          <xdr:row>9</xdr:row>
          <xdr:rowOff>63500</xdr:rowOff>
        </xdr:from>
        <xdr:to>
          <xdr:col>45</xdr:col>
          <xdr:colOff>25400</xdr:colOff>
          <xdr:row>9</xdr:row>
          <xdr:rowOff>254000</xdr:rowOff>
        </xdr:to>
        <xdr:sp macro="" textlink="">
          <xdr:nvSpPr>
            <xdr:cNvPr id="86029" name="Drop Down 13" hidden="1">
              <a:extLst>
                <a:ext uri="{63B3BB69-23CF-44E3-9099-C40C66FF867C}">
                  <a14:compatExt spid="_x0000_s86029"/>
                </a:ext>
                <a:ext uri="{FF2B5EF4-FFF2-40B4-BE49-F238E27FC236}">
                  <a16:creationId xmlns:a16="http://schemas.microsoft.com/office/drawing/2014/main" id="{00000000-0008-0000-0A00-00000D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63500</xdr:colOff>
          <xdr:row>9</xdr:row>
          <xdr:rowOff>38100</xdr:rowOff>
        </xdr:from>
        <xdr:to>
          <xdr:col>48</xdr:col>
          <xdr:colOff>152400</xdr:colOff>
          <xdr:row>9</xdr:row>
          <xdr:rowOff>254000</xdr:rowOff>
        </xdr:to>
        <xdr:sp macro="" textlink="">
          <xdr:nvSpPr>
            <xdr:cNvPr id="86030" name="Drop Down 14" hidden="1">
              <a:extLst>
                <a:ext uri="{63B3BB69-23CF-44E3-9099-C40C66FF867C}">
                  <a14:compatExt spid="_x0000_s86030"/>
                </a:ext>
                <a:ext uri="{FF2B5EF4-FFF2-40B4-BE49-F238E27FC236}">
                  <a16:creationId xmlns:a16="http://schemas.microsoft.com/office/drawing/2014/main" id="{00000000-0008-0000-0A00-00000E5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539750</xdr:colOff>
      <xdr:row>32</xdr:row>
      <xdr:rowOff>148167</xdr:rowOff>
    </xdr:from>
    <xdr:to>
      <xdr:col>14</xdr:col>
      <xdr:colOff>317500</xdr:colOff>
      <xdr:row>44</xdr:row>
      <xdr:rowOff>31750</xdr:rowOff>
    </xdr:to>
    <xdr:sp macro="" textlink="">
      <xdr:nvSpPr>
        <xdr:cNvPr id="2" name="Cube 1">
          <a:extLst>
            <a:ext uri="{FF2B5EF4-FFF2-40B4-BE49-F238E27FC236}">
              <a16:creationId xmlns:a16="http://schemas.microsoft.com/office/drawing/2014/main" id="{00000000-0008-0000-0B00-000002000000}"/>
            </a:ext>
          </a:extLst>
        </xdr:cNvPr>
        <xdr:cNvSpPr/>
      </xdr:nvSpPr>
      <xdr:spPr>
        <a:xfrm>
          <a:off x="7464425" y="7663392"/>
          <a:ext cx="2216150" cy="1864783"/>
        </a:xfrm>
        <a:prstGeom prst="cube">
          <a:avLst>
            <a:gd name="adj" fmla="val 7976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317500</xdr:colOff>
      <xdr:row>33</xdr:row>
      <xdr:rowOff>10583</xdr:rowOff>
    </xdr:from>
    <xdr:to>
      <xdr:col>16</xdr:col>
      <xdr:colOff>116416</xdr:colOff>
      <xdr:row>44</xdr:row>
      <xdr:rowOff>21167</xdr:rowOff>
    </xdr:to>
    <xdr:sp macro="" textlink="">
      <xdr:nvSpPr>
        <xdr:cNvPr id="3" name="Cube 2">
          <a:extLst>
            <a:ext uri="{FF2B5EF4-FFF2-40B4-BE49-F238E27FC236}">
              <a16:creationId xmlns:a16="http://schemas.microsoft.com/office/drawing/2014/main" id="{00000000-0008-0000-0B00-000003000000}"/>
            </a:ext>
          </a:extLst>
        </xdr:cNvPr>
        <xdr:cNvSpPr/>
      </xdr:nvSpPr>
      <xdr:spPr>
        <a:xfrm>
          <a:off x="8461375" y="7687733"/>
          <a:ext cx="2237316" cy="1829859"/>
        </a:xfrm>
        <a:prstGeom prst="cube">
          <a:avLst>
            <a:gd name="adj" fmla="val 7976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111995</xdr:colOff>
      <xdr:row>16</xdr:row>
      <xdr:rowOff>67582</xdr:rowOff>
    </xdr:from>
    <xdr:to>
      <xdr:col>18</xdr:col>
      <xdr:colOff>394011</xdr:colOff>
      <xdr:row>46</xdr:row>
      <xdr:rowOff>25456</xdr:rowOff>
    </xdr:to>
    <xdr:sp macro="" textlink="">
      <xdr:nvSpPr>
        <xdr:cNvPr id="4" name="Parallelogram 3">
          <a:extLst>
            <a:ext uri="{FF2B5EF4-FFF2-40B4-BE49-F238E27FC236}">
              <a16:creationId xmlns:a16="http://schemas.microsoft.com/office/drawing/2014/main" id="{00000000-0008-0000-0B00-000004000000}"/>
            </a:ext>
          </a:extLst>
        </xdr:cNvPr>
        <xdr:cNvSpPr/>
      </xdr:nvSpPr>
      <xdr:spPr>
        <a:xfrm rot="1765002">
          <a:off x="8255870" y="4992007"/>
          <a:ext cx="3939616" cy="4853724"/>
        </a:xfrm>
        <a:prstGeom prst="parallelogram">
          <a:avLst/>
        </a:prstGeom>
        <a:solidFill>
          <a:schemeClr val="accent3">
            <a:lumMod val="40000"/>
            <a:lumOff val="60000"/>
            <a:alpha val="33000"/>
          </a:schemeClr>
        </a:solidFill>
        <a:ln>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412749</xdr:colOff>
      <xdr:row>33</xdr:row>
      <xdr:rowOff>10583</xdr:rowOff>
    </xdr:from>
    <xdr:to>
      <xdr:col>15</xdr:col>
      <xdr:colOff>31748</xdr:colOff>
      <xdr:row>47</xdr:row>
      <xdr:rowOff>158748</xdr:rowOff>
    </xdr:to>
    <xdr:cxnSp macro="">
      <xdr:nvCxnSpPr>
        <xdr:cNvPr id="5" name="Straight Connector 4">
          <a:extLst>
            <a:ext uri="{FF2B5EF4-FFF2-40B4-BE49-F238E27FC236}">
              <a16:creationId xmlns:a16="http://schemas.microsoft.com/office/drawing/2014/main" id="{00000000-0008-0000-0B00-000005000000}"/>
            </a:ext>
          </a:extLst>
        </xdr:cNvPr>
        <xdr:cNvCxnSpPr/>
      </xdr:nvCxnSpPr>
      <xdr:spPr>
        <a:xfrm rot="20408688">
          <a:off x="7947024" y="7687733"/>
          <a:ext cx="2057399" cy="245321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36</xdr:row>
      <xdr:rowOff>84667</xdr:rowOff>
    </xdr:from>
    <xdr:to>
      <xdr:col>15</xdr:col>
      <xdr:colOff>148167</xdr:colOff>
      <xdr:row>45</xdr:row>
      <xdr:rowOff>84667</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8191500" y="5910792"/>
          <a:ext cx="3291417" cy="1428750"/>
          <a:chOff x="6942667" y="7228417"/>
          <a:chExt cx="3026833" cy="1428750"/>
        </a:xfrm>
      </xdr:grpSpPr>
      <xdr:cxnSp macro="">
        <xdr:nvCxnSpPr>
          <xdr:cNvPr id="7" name="Straight Connector 6">
            <a:extLst>
              <a:ext uri="{FF2B5EF4-FFF2-40B4-BE49-F238E27FC236}">
                <a16:creationId xmlns:a16="http://schemas.microsoft.com/office/drawing/2014/main" id="{00000000-0008-0000-0B00-000007000000}"/>
              </a:ext>
            </a:extLst>
          </xdr:cNvPr>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B00-000008000000}"/>
              </a:ext>
            </a:extLst>
          </xdr:cNvPr>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338666</xdr:colOff>
      <xdr:row>14</xdr:row>
      <xdr:rowOff>21167</xdr:rowOff>
    </xdr:from>
    <xdr:to>
      <xdr:col>19</xdr:col>
      <xdr:colOff>296332</xdr:colOff>
      <xdr:row>29</xdr:row>
      <xdr:rowOff>10582</xdr:rowOff>
    </xdr:to>
    <xdr:grpSp>
      <xdr:nvGrpSpPr>
        <xdr:cNvPr id="9" name="Group 8">
          <a:extLst>
            <a:ext uri="{FF2B5EF4-FFF2-40B4-BE49-F238E27FC236}">
              <a16:creationId xmlns:a16="http://schemas.microsoft.com/office/drawing/2014/main" id="{00000000-0008-0000-0B00-000009000000}"/>
            </a:ext>
          </a:extLst>
        </xdr:cNvPr>
        <xdr:cNvGrpSpPr/>
      </xdr:nvGrpSpPr>
      <xdr:grpSpPr>
        <a:xfrm>
          <a:off x="11006666" y="2307167"/>
          <a:ext cx="3291416" cy="2418290"/>
          <a:chOff x="6942667" y="6678083"/>
          <a:chExt cx="3026833" cy="2370665"/>
        </a:xfrm>
      </xdr:grpSpPr>
      <xdr:cxnSp macro="">
        <xdr:nvCxnSpPr>
          <xdr:cNvPr id="10" name="Straight Connector 9">
            <a:extLst>
              <a:ext uri="{FF2B5EF4-FFF2-40B4-BE49-F238E27FC236}">
                <a16:creationId xmlns:a16="http://schemas.microsoft.com/office/drawing/2014/main" id="{00000000-0008-0000-0B00-00000A000000}"/>
              </a:ext>
            </a:extLst>
          </xdr:cNvPr>
          <xdr:cNvCxnSpPr/>
        </xdr:nvCxnSpPr>
        <xdr:spPr>
          <a:xfrm rot="20408688">
            <a:off x="7778749" y="6678083"/>
            <a:ext cx="2074332" cy="237066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11" name="Group 10">
            <a:extLst>
              <a:ext uri="{FF2B5EF4-FFF2-40B4-BE49-F238E27FC236}">
                <a16:creationId xmlns:a16="http://schemas.microsoft.com/office/drawing/2014/main" id="{00000000-0008-0000-0B00-00000B000000}"/>
              </a:ext>
            </a:extLst>
          </xdr:cNvPr>
          <xdr:cNvGrpSpPr/>
        </xdr:nvGrpSpPr>
        <xdr:grpSpPr>
          <a:xfrm>
            <a:off x="6942667" y="7228417"/>
            <a:ext cx="3026833" cy="1428750"/>
            <a:chOff x="6942667" y="7228417"/>
            <a:chExt cx="3026833" cy="1428750"/>
          </a:xfrm>
        </xdr:grpSpPr>
        <xdr:cxnSp macro="">
          <xdr:nvCxnSpPr>
            <xdr:cNvPr id="12" name="Straight Connector 11">
              <a:extLst>
                <a:ext uri="{FF2B5EF4-FFF2-40B4-BE49-F238E27FC236}">
                  <a16:creationId xmlns:a16="http://schemas.microsoft.com/office/drawing/2014/main" id="{00000000-0008-0000-0B00-00000C000000}"/>
                </a:ext>
              </a:extLst>
            </xdr:cNvPr>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0B00-00000D000000}"/>
                </a:ext>
              </a:extLst>
            </xdr:cNvPr>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12</xdr:col>
      <xdr:colOff>254000</xdr:colOff>
      <xdr:row>23</xdr:row>
      <xdr:rowOff>74084</xdr:rowOff>
    </xdr:from>
    <xdr:to>
      <xdr:col>17</xdr:col>
      <xdr:colOff>211666</xdr:colOff>
      <xdr:row>38</xdr:row>
      <xdr:rowOff>63499</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9588500" y="3836459"/>
          <a:ext cx="3291416" cy="2370665"/>
          <a:chOff x="6942667" y="6678083"/>
          <a:chExt cx="3026833" cy="2370665"/>
        </a:xfrm>
      </xdr:grpSpPr>
      <xdr:cxnSp macro="">
        <xdr:nvCxnSpPr>
          <xdr:cNvPr id="15" name="Straight Connector 14">
            <a:extLst>
              <a:ext uri="{FF2B5EF4-FFF2-40B4-BE49-F238E27FC236}">
                <a16:creationId xmlns:a16="http://schemas.microsoft.com/office/drawing/2014/main" id="{00000000-0008-0000-0B00-00000F000000}"/>
              </a:ext>
            </a:extLst>
          </xdr:cNvPr>
          <xdr:cNvCxnSpPr/>
        </xdr:nvCxnSpPr>
        <xdr:spPr>
          <a:xfrm rot="20408688">
            <a:off x="7778749" y="6678083"/>
            <a:ext cx="2074332" cy="2370665"/>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nvGrpSpPr>
          <xdr:cNvPr id="16" name="Group 15">
            <a:extLst>
              <a:ext uri="{FF2B5EF4-FFF2-40B4-BE49-F238E27FC236}">
                <a16:creationId xmlns:a16="http://schemas.microsoft.com/office/drawing/2014/main" id="{00000000-0008-0000-0B00-000010000000}"/>
              </a:ext>
            </a:extLst>
          </xdr:cNvPr>
          <xdr:cNvGrpSpPr/>
        </xdr:nvGrpSpPr>
        <xdr:grpSpPr>
          <a:xfrm>
            <a:off x="6942667" y="7228417"/>
            <a:ext cx="3026833" cy="1428750"/>
            <a:chOff x="6942667" y="7228417"/>
            <a:chExt cx="3026833" cy="1428750"/>
          </a:xfrm>
        </xdr:grpSpPr>
        <xdr:cxnSp macro="">
          <xdr:nvCxnSpPr>
            <xdr:cNvPr id="17" name="Straight Connector 16">
              <a:extLst>
                <a:ext uri="{FF2B5EF4-FFF2-40B4-BE49-F238E27FC236}">
                  <a16:creationId xmlns:a16="http://schemas.microsoft.com/office/drawing/2014/main" id="{00000000-0008-0000-0B00-000011000000}"/>
                </a:ext>
              </a:extLst>
            </xdr:cNvPr>
            <xdr:cNvCxnSpPr/>
          </xdr:nvCxnSpPr>
          <xdr:spPr>
            <a:xfrm>
              <a:off x="7037917" y="8487833"/>
              <a:ext cx="2931583" cy="10584"/>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B00-000012000000}"/>
                </a:ext>
              </a:extLst>
            </xdr:cNvPr>
            <xdr:cNvCxnSpPr/>
          </xdr:nvCxnSpPr>
          <xdr:spPr>
            <a:xfrm flipH="1">
              <a:off x="6942667" y="7228417"/>
              <a:ext cx="740835" cy="1428750"/>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11</xdr:col>
      <xdr:colOff>317500</xdr:colOff>
      <xdr:row>17</xdr:row>
      <xdr:rowOff>116417</xdr:rowOff>
    </xdr:from>
    <xdr:to>
      <xdr:col>15</xdr:col>
      <xdr:colOff>444500</xdr:colOff>
      <xdr:row>36</xdr:row>
      <xdr:rowOff>95250</xdr:rowOff>
    </xdr:to>
    <xdr:cxnSp macro="">
      <xdr:nvCxnSpPr>
        <xdr:cNvPr id="19" name="Straight Connector 18">
          <a:extLst>
            <a:ext uri="{FF2B5EF4-FFF2-40B4-BE49-F238E27FC236}">
              <a16:creationId xmlns:a16="http://schemas.microsoft.com/office/drawing/2014/main" id="{00000000-0008-0000-0B00-000013000000}"/>
            </a:ext>
          </a:extLst>
        </xdr:cNvPr>
        <xdr:cNvCxnSpPr/>
      </xdr:nvCxnSpPr>
      <xdr:spPr>
        <a:xfrm flipV="1">
          <a:off x="7851775" y="5202767"/>
          <a:ext cx="2565400" cy="3055408"/>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137583</xdr:colOff>
      <xdr:row>25</xdr:row>
      <xdr:rowOff>95250</xdr:rowOff>
    </xdr:from>
    <xdr:to>
      <xdr:col>19</xdr:col>
      <xdr:colOff>264582</xdr:colOff>
      <xdr:row>44</xdr:row>
      <xdr:rowOff>74083</xdr:rowOff>
    </xdr:to>
    <xdr:cxnSp macro="">
      <xdr:nvCxnSpPr>
        <xdr:cNvPr id="20" name="Straight Connector 19">
          <a:extLst>
            <a:ext uri="{FF2B5EF4-FFF2-40B4-BE49-F238E27FC236}">
              <a16:creationId xmlns:a16="http://schemas.microsoft.com/office/drawing/2014/main" id="{00000000-0008-0000-0B00-000014000000}"/>
            </a:ext>
          </a:extLst>
        </xdr:cNvPr>
        <xdr:cNvCxnSpPr/>
      </xdr:nvCxnSpPr>
      <xdr:spPr>
        <a:xfrm flipV="1">
          <a:off x="10110258" y="6477000"/>
          <a:ext cx="2565399" cy="3093508"/>
        </a:xfrm>
        <a:prstGeom prst="line">
          <a:avLst/>
        </a:prstGeom>
        <a:ln w="38100">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404813</xdr:colOff>
      <xdr:row>2</xdr:row>
      <xdr:rowOff>130969</xdr:rowOff>
    </xdr:from>
    <xdr:to>
      <xdr:col>14</xdr:col>
      <xdr:colOff>419125</xdr:colOff>
      <xdr:row>5</xdr:row>
      <xdr:rowOff>3735</xdr:rowOff>
    </xdr:to>
    <xdr:pic>
      <xdr:nvPicPr>
        <xdr:cNvPr id="21" name="Picture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48688" y="454819"/>
          <a:ext cx="1233513" cy="5871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12700</xdr:rowOff>
        </xdr:from>
        <xdr:to>
          <xdr:col>3</xdr:col>
          <xdr:colOff>2159000</xdr:colOff>
          <xdr:row>5</xdr:row>
          <xdr:rowOff>203200</xdr:rowOff>
        </xdr:to>
        <xdr:sp macro="" textlink="">
          <xdr:nvSpPr>
            <xdr:cNvPr id="130049" name="Drop Down 1" hidden="1">
              <a:extLst>
                <a:ext uri="{63B3BB69-23CF-44E3-9099-C40C66FF867C}">
                  <a14:compatExt spid="_x0000_s130049"/>
                </a:ext>
                <a:ext uri="{FF2B5EF4-FFF2-40B4-BE49-F238E27FC236}">
                  <a16:creationId xmlns:a16="http://schemas.microsoft.com/office/drawing/2014/main" id="{00000000-0008-0000-0B00-000001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45</xdr:row>
          <xdr:rowOff>25400</xdr:rowOff>
        </xdr:from>
        <xdr:to>
          <xdr:col>9</xdr:col>
          <xdr:colOff>88900</xdr:colOff>
          <xdr:row>46</xdr:row>
          <xdr:rowOff>25400</xdr:rowOff>
        </xdr:to>
        <xdr:sp macro="" textlink="">
          <xdr:nvSpPr>
            <xdr:cNvPr id="130050" name="Drop Down 2" hidden="1">
              <a:extLst>
                <a:ext uri="{63B3BB69-23CF-44E3-9099-C40C66FF867C}">
                  <a14:compatExt spid="_x0000_s130050"/>
                </a:ext>
                <a:ext uri="{FF2B5EF4-FFF2-40B4-BE49-F238E27FC236}">
                  <a16:creationId xmlns:a16="http://schemas.microsoft.com/office/drawing/2014/main" id="{00000000-0008-0000-0B00-000002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55</xdr:row>
          <xdr:rowOff>12700</xdr:rowOff>
        </xdr:from>
        <xdr:to>
          <xdr:col>5</xdr:col>
          <xdr:colOff>330200</xdr:colOff>
          <xdr:row>55</xdr:row>
          <xdr:rowOff>152400</xdr:rowOff>
        </xdr:to>
        <xdr:sp macro="" textlink="">
          <xdr:nvSpPr>
            <xdr:cNvPr id="130051" name="Drop Down 3" hidden="1">
              <a:extLst>
                <a:ext uri="{63B3BB69-23CF-44E3-9099-C40C66FF867C}">
                  <a14:compatExt spid="_x0000_s130051"/>
                </a:ext>
                <a:ext uri="{FF2B5EF4-FFF2-40B4-BE49-F238E27FC236}">
                  <a16:creationId xmlns:a16="http://schemas.microsoft.com/office/drawing/2014/main" id="{00000000-0008-0000-0B00-000003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1473200</xdr:colOff>
          <xdr:row>7</xdr:row>
          <xdr:rowOff>12700</xdr:rowOff>
        </xdr:from>
        <xdr:to>
          <xdr:col>3</xdr:col>
          <xdr:colOff>2159000</xdr:colOff>
          <xdr:row>7</xdr:row>
          <xdr:rowOff>190500</xdr:rowOff>
        </xdr:to>
        <xdr:sp macro="" textlink="">
          <xdr:nvSpPr>
            <xdr:cNvPr id="130052" name="Drop Down 4" hidden="1">
              <a:extLst>
                <a:ext uri="{63B3BB69-23CF-44E3-9099-C40C66FF867C}">
                  <a14:compatExt spid="_x0000_s130052"/>
                </a:ext>
                <a:ext uri="{FF2B5EF4-FFF2-40B4-BE49-F238E27FC236}">
                  <a16:creationId xmlns:a16="http://schemas.microsoft.com/office/drawing/2014/main" id="{00000000-0008-0000-0B00-000004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215900</xdr:colOff>
          <xdr:row>9</xdr:row>
          <xdr:rowOff>25400</xdr:rowOff>
        </xdr:from>
        <xdr:to>
          <xdr:col>3</xdr:col>
          <xdr:colOff>2120900</xdr:colOff>
          <xdr:row>9</xdr:row>
          <xdr:rowOff>203200</xdr:rowOff>
        </xdr:to>
        <xdr:sp macro="" textlink="">
          <xdr:nvSpPr>
            <xdr:cNvPr id="130053" name="Drop Down 5" hidden="1">
              <a:extLst>
                <a:ext uri="{63B3BB69-23CF-44E3-9099-C40C66FF867C}">
                  <a14:compatExt spid="_x0000_s130053"/>
                </a:ext>
                <a:ext uri="{FF2B5EF4-FFF2-40B4-BE49-F238E27FC236}">
                  <a16:creationId xmlns:a16="http://schemas.microsoft.com/office/drawing/2014/main" id="{00000000-0008-0000-0B00-000005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88</xdr:row>
          <xdr:rowOff>25400</xdr:rowOff>
        </xdr:from>
        <xdr:to>
          <xdr:col>3</xdr:col>
          <xdr:colOff>2006600</xdr:colOff>
          <xdr:row>88</xdr:row>
          <xdr:rowOff>203200</xdr:rowOff>
        </xdr:to>
        <xdr:sp macro="" textlink="">
          <xdr:nvSpPr>
            <xdr:cNvPr id="130054" name="Drop Down 6" hidden="1">
              <a:extLst>
                <a:ext uri="{63B3BB69-23CF-44E3-9099-C40C66FF867C}">
                  <a14:compatExt spid="_x0000_s130054"/>
                </a:ext>
                <a:ext uri="{FF2B5EF4-FFF2-40B4-BE49-F238E27FC236}">
                  <a16:creationId xmlns:a16="http://schemas.microsoft.com/office/drawing/2014/main" id="{00000000-0008-0000-0B00-000006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1371600</xdr:colOff>
          <xdr:row>92</xdr:row>
          <xdr:rowOff>25400</xdr:rowOff>
        </xdr:from>
        <xdr:to>
          <xdr:col>3</xdr:col>
          <xdr:colOff>2019300</xdr:colOff>
          <xdr:row>92</xdr:row>
          <xdr:rowOff>203200</xdr:rowOff>
        </xdr:to>
        <xdr:sp macro="" textlink="">
          <xdr:nvSpPr>
            <xdr:cNvPr id="130055" name="Drop Down 7" hidden="1">
              <a:extLst>
                <a:ext uri="{63B3BB69-23CF-44E3-9099-C40C66FF867C}">
                  <a14:compatExt spid="_x0000_s130055"/>
                </a:ext>
                <a:ext uri="{FF2B5EF4-FFF2-40B4-BE49-F238E27FC236}">
                  <a16:creationId xmlns:a16="http://schemas.microsoft.com/office/drawing/2014/main" id="{00000000-0008-0000-0B00-000007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90</xdr:row>
          <xdr:rowOff>12700</xdr:rowOff>
        </xdr:from>
        <xdr:to>
          <xdr:col>3</xdr:col>
          <xdr:colOff>2006600</xdr:colOff>
          <xdr:row>90</xdr:row>
          <xdr:rowOff>203200</xdr:rowOff>
        </xdr:to>
        <xdr:sp macro="" textlink="">
          <xdr:nvSpPr>
            <xdr:cNvPr id="130056" name="Drop Down 8" hidden="1">
              <a:extLst>
                <a:ext uri="{63B3BB69-23CF-44E3-9099-C40C66FF867C}">
                  <a14:compatExt spid="_x0000_s130056"/>
                </a:ext>
                <a:ext uri="{FF2B5EF4-FFF2-40B4-BE49-F238E27FC236}">
                  <a16:creationId xmlns:a16="http://schemas.microsoft.com/office/drawing/2014/main" id="{00000000-0008-0000-0B00-000008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1358900</xdr:colOff>
          <xdr:row>94</xdr:row>
          <xdr:rowOff>25400</xdr:rowOff>
        </xdr:from>
        <xdr:to>
          <xdr:col>3</xdr:col>
          <xdr:colOff>1993900</xdr:colOff>
          <xdr:row>94</xdr:row>
          <xdr:rowOff>190500</xdr:rowOff>
        </xdr:to>
        <xdr:sp macro="" textlink="">
          <xdr:nvSpPr>
            <xdr:cNvPr id="130057" name="Drop Down 9" hidden="1">
              <a:extLst>
                <a:ext uri="{63B3BB69-23CF-44E3-9099-C40C66FF867C}">
                  <a14:compatExt spid="_x0000_s130057"/>
                </a:ext>
                <a:ext uri="{FF2B5EF4-FFF2-40B4-BE49-F238E27FC236}">
                  <a16:creationId xmlns:a16="http://schemas.microsoft.com/office/drawing/2014/main" id="{00000000-0008-0000-0B00-000009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101600</xdr:colOff>
          <xdr:row>5</xdr:row>
          <xdr:rowOff>50800</xdr:rowOff>
        </xdr:from>
        <xdr:to>
          <xdr:col>8</xdr:col>
          <xdr:colOff>546100</xdr:colOff>
          <xdr:row>6</xdr:row>
          <xdr:rowOff>38100</xdr:rowOff>
        </xdr:to>
        <xdr:sp macro="" textlink="">
          <xdr:nvSpPr>
            <xdr:cNvPr id="130058" name="Drop Down 10" hidden="1">
              <a:extLst>
                <a:ext uri="{63B3BB69-23CF-44E3-9099-C40C66FF867C}">
                  <a14:compatExt spid="_x0000_s130058"/>
                </a:ext>
                <a:ext uri="{FF2B5EF4-FFF2-40B4-BE49-F238E27FC236}">
                  <a16:creationId xmlns:a16="http://schemas.microsoft.com/office/drawing/2014/main" id="{00000000-0008-0000-0B00-00000A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292100</xdr:colOff>
          <xdr:row>90</xdr:row>
          <xdr:rowOff>38100</xdr:rowOff>
        </xdr:from>
        <xdr:to>
          <xdr:col>7</xdr:col>
          <xdr:colOff>596900</xdr:colOff>
          <xdr:row>90</xdr:row>
          <xdr:rowOff>215900</xdr:rowOff>
        </xdr:to>
        <xdr:sp macro="" textlink="">
          <xdr:nvSpPr>
            <xdr:cNvPr id="130059" name="Drop Down 11" hidden="1">
              <a:extLst>
                <a:ext uri="{63B3BB69-23CF-44E3-9099-C40C66FF867C}">
                  <a14:compatExt spid="_x0000_s130059"/>
                </a:ext>
                <a:ext uri="{FF2B5EF4-FFF2-40B4-BE49-F238E27FC236}">
                  <a16:creationId xmlns:a16="http://schemas.microsoft.com/office/drawing/2014/main" id="{00000000-0008-0000-0B00-00000B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12</xdr:col>
      <xdr:colOff>404813</xdr:colOff>
      <xdr:row>2</xdr:row>
      <xdr:rowOff>226219</xdr:rowOff>
    </xdr:from>
    <xdr:to>
      <xdr:col>14</xdr:col>
      <xdr:colOff>419126</xdr:colOff>
      <xdr:row>6</xdr:row>
      <xdr:rowOff>39454</xdr:rowOff>
    </xdr:to>
    <xdr:pic>
      <xdr:nvPicPr>
        <xdr:cNvPr id="70" name="Picture 69">
          <a:extLst>
            <a:ext uri="{FF2B5EF4-FFF2-40B4-BE49-F238E27FC236}">
              <a16:creationId xmlns:a16="http://schemas.microsoft.com/office/drawing/2014/main" id="{00000000-0008-0000-0C00-00004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15376" y="369094"/>
          <a:ext cx="1228750" cy="5871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584200</xdr:colOff>
          <xdr:row>5</xdr:row>
          <xdr:rowOff>25400</xdr:rowOff>
        </xdr:from>
        <xdr:to>
          <xdr:col>3</xdr:col>
          <xdr:colOff>2006600</xdr:colOff>
          <xdr:row>5</xdr:row>
          <xdr:rowOff>215900</xdr:rowOff>
        </xdr:to>
        <xdr:sp macro="" textlink="">
          <xdr:nvSpPr>
            <xdr:cNvPr id="59394" name="Drop Down 2" hidden="1">
              <a:extLst>
                <a:ext uri="{63B3BB69-23CF-44E3-9099-C40C66FF867C}">
                  <a14:compatExt spid="_x0000_s59394"/>
                </a:ext>
                <a:ext uri="{FF2B5EF4-FFF2-40B4-BE49-F238E27FC236}">
                  <a16:creationId xmlns:a16="http://schemas.microsoft.com/office/drawing/2014/main" id="{00000000-0008-0000-0C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1320800</xdr:colOff>
          <xdr:row>7</xdr:row>
          <xdr:rowOff>25400</xdr:rowOff>
        </xdr:from>
        <xdr:to>
          <xdr:col>3</xdr:col>
          <xdr:colOff>2006600</xdr:colOff>
          <xdr:row>7</xdr:row>
          <xdr:rowOff>203200</xdr:rowOff>
        </xdr:to>
        <xdr:sp macro="" textlink="">
          <xdr:nvSpPr>
            <xdr:cNvPr id="59401" name="Drop Down 9" hidden="1">
              <a:extLst>
                <a:ext uri="{63B3BB69-23CF-44E3-9099-C40C66FF867C}">
                  <a14:compatExt spid="_x0000_s59401"/>
                </a:ext>
                <a:ext uri="{FF2B5EF4-FFF2-40B4-BE49-F238E27FC236}">
                  <a16:creationId xmlns:a16="http://schemas.microsoft.com/office/drawing/2014/main" id="{00000000-0008-0000-0C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101600</xdr:colOff>
          <xdr:row>9</xdr:row>
          <xdr:rowOff>25400</xdr:rowOff>
        </xdr:from>
        <xdr:to>
          <xdr:col>3</xdr:col>
          <xdr:colOff>2006600</xdr:colOff>
          <xdr:row>9</xdr:row>
          <xdr:rowOff>203200</xdr:rowOff>
        </xdr:to>
        <xdr:sp macro="" textlink="">
          <xdr:nvSpPr>
            <xdr:cNvPr id="59403" name="Drop Down 11" hidden="1">
              <a:extLst>
                <a:ext uri="{63B3BB69-23CF-44E3-9099-C40C66FF867C}">
                  <a14:compatExt spid="_x0000_s59403"/>
                </a:ext>
                <a:ext uri="{FF2B5EF4-FFF2-40B4-BE49-F238E27FC236}">
                  <a16:creationId xmlns:a16="http://schemas.microsoft.com/office/drawing/2014/main" id="{00000000-0008-0000-0C00-00000B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9</xdr:row>
          <xdr:rowOff>38100</xdr:rowOff>
        </xdr:from>
        <xdr:to>
          <xdr:col>8</xdr:col>
          <xdr:colOff>355600</xdr:colOff>
          <xdr:row>9</xdr:row>
          <xdr:rowOff>241300</xdr:rowOff>
        </xdr:to>
        <xdr:sp macro="" textlink="">
          <xdr:nvSpPr>
            <xdr:cNvPr id="59408" name="Drop Down 16" hidden="1">
              <a:extLst>
                <a:ext uri="{63B3BB69-23CF-44E3-9099-C40C66FF867C}">
                  <a14:compatExt spid="_x0000_s59408"/>
                </a:ext>
                <a:ext uri="{FF2B5EF4-FFF2-40B4-BE49-F238E27FC236}">
                  <a16:creationId xmlns:a16="http://schemas.microsoft.com/office/drawing/2014/main" id="{00000000-0008-0000-0C00-000010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20</xdr:col>
      <xdr:colOff>28576</xdr:colOff>
      <xdr:row>2</xdr:row>
      <xdr:rowOff>209549</xdr:rowOff>
    </xdr:from>
    <xdr:to>
      <xdr:col>27</xdr:col>
      <xdr:colOff>762001</xdr:colOff>
      <xdr:row>19</xdr:row>
      <xdr:rowOff>95249</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xdr:colOff>
      <xdr:row>94</xdr:row>
      <xdr:rowOff>132313</xdr:rowOff>
    </xdr:from>
    <xdr:to>
      <xdr:col>7</xdr:col>
      <xdr:colOff>1033183</xdr:colOff>
      <xdr:row>112</xdr:row>
      <xdr:rowOff>791</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607220" y="8061876"/>
          <a:ext cx="6762749" cy="2860917"/>
        </a:xfrm>
        <a:prstGeom prst="rect">
          <a:avLst/>
        </a:prstGeom>
      </xdr:spPr>
    </xdr:pic>
    <xdr:clientData/>
  </xdr:twoCellAnchor>
  <xdr:twoCellAnchor editAs="oneCell">
    <xdr:from>
      <xdr:col>11</xdr:col>
      <xdr:colOff>0</xdr:colOff>
      <xdr:row>95</xdr:row>
      <xdr:rowOff>0</xdr:rowOff>
    </xdr:from>
    <xdr:to>
      <xdr:col>12</xdr:col>
      <xdr:colOff>3545680</xdr:colOff>
      <xdr:row>111</xdr:row>
      <xdr:rowOff>123826</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001125" y="8096250"/>
          <a:ext cx="4152900" cy="27908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19</xdr:row>
          <xdr:rowOff>0</xdr:rowOff>
        </xdr:from>
        <xdr:to>
          <xdr:col>12</xdr:col>
          <xdr:colOff>330200</xdr:colOff>
          <xdr:row>19</xdr:row>
          <xdr:rowOff>203200</xdr:rowOff>
        </xdr:to>
        <xdr:sp macro="" textlink="">
          <xdr:nvSpPr>
            <xdr:cNvPr id="67586" name="Drop Down 2" hidden="1">
              <a:extLst>
                <a:ext uri="{63B3BB69-23CF-44E3-9099-C40C66FF867C}">
                  <a14:compatExt spid="_x0000_s67586"/>
                </a:ext>
                <a:ext uri="{FF2B5EF4-FFF2-40B4-BE49-F238E27FC236}">
                  <a16:creationId xmlns:a16="http://schemas.microsoft.com/office/drawing/2014/main" id="{00000000-0008-0000-0F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0</xdr:rowOff>
        </xdr:from>
        <xdr:to>
          <xdr:col>12</xdr:col>
          <xdr:colOff>25400</xdr:colOff>
          <xdr:row>20</xdr:row>
          <xdr:rowOff>203200</xdr:rowOff>
        </xdr:to>
        <xdr:sp macro="" textlink="">
          <xdr:nvSpPr>
            <xdr:cNvPr id="67587" name="Drop Down 3" hidden="1">
              <a:extLst>
                <a:ext uri="{63B3BB69-23CF-44E3-9099-C40C66FF867C}">
                  <a14:compatExt spid="_x0000_s67587"/>
                </a:ext>
                <a:ext uri="{FF2B5EF4-FFF2-40B4-BE49-F238E27FC236}">
                  <a16:creationId xmlns:a16="http://schemas.microsoft.com/office/drawing/2014/main" id="{00000000-0008-0000-0F00-000003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12700</xdr:rowOff>
        </xdr:from>
        <xdr:to>
          <xdr:col>12</xdr:col>
          <xdr:colOff>12700</xdr:colOff>
          <xdr:row>17</xdr:row>
          <xdr:rowOff>215900</xdr:rowOff>
        </xdr:to>
        <xdr:sp macro="" textlink="">
          <xdr:nvSpPr>
            <xdr:cNvPr id="67588" name="Drop Down 4" hidden="1">
              <a:extLst>
                <a:ext uri="{63B3BB69-23CF-44E3-9099-C40C66FF867C}">
                  <a14:compatExt spid="_x0000_s67588"/>
                </a:ext>
                <a:ext uri="{FF2B5EF4-FFF2-40B4-BE49-F238E27FC236}">
                  <a16:creationId xmlns:a16="http://schemas.microsoft.com/office/drawing/2014/main" id="{00000000-0008-0000-0F00-000004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absolute">
    <xdr:from>
      <xdr:col>1</xdr:col>
      <xdr:colOff>69840</xdr:colOff>
      <xdr:row>19</xdr:row>
      <xdr:rowOff>95251</xdr:rowOff>
    </xdr:from>
    <xdr:to>
      <xdr:col>6</xdr:col>
      <xdr:colOff>309390</xdr:colOff>
      <xdr:row>40</xdr:row>
      <xdr:rowOff>28514</xdr:rowOff>
    </xdr:to>
    <xdr:pic>
      <xdr:nvPicPr>
        <xdr:cNvPr id="3" name="Image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srcRect r="17539"/>
        <a:stretch/>
      </xdr:blipFill>
      <xdr:spPr>
        <a:xfrm>
          <a:off x="207423" y="3503084"/>
          <a:ext cx="4684550" cy="3902013"/>
        </a:xfrm>
        <a:prstGeom prst="rect">
          <a:avLst/>
        </a:prstGeom>
        <a:ln>
          <a:noFill/>
        </a:ln>
      </xdr:spPr>
    </xdr:pic>
    <xdr:clientData/>
  </xdr:twoCellAnchor>
  <xdr:twoCellAnchor editAs="absolute">
    <xdr:from>
      <xdr:col>7</xdr:col>
      <xdr:colOff>150</xdr:colOff>
      <xdr:row>20</xdr:row>
      <xdr:rowOff>63500</xdr:rowOff>
    </xdr:from>
    <xdr:to>
      <xdr:col>13</xdr:col>
      <xdr:colOff>447990</xdr:colOff>
      <xdr:row>39</xdr:row>
      <xdr:rowOff>132914</xdr:rowOff>
    </xdr:to>
    <xdr:pic>
      <xdr:nvPicPr>
        <xdr:cNvPr id="4" name="Image 3">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2"/>
        <a:stretch/>
      </xdr:blipFill>
      <xdr:spPr>
        <a:xfrm>
          <a:off x="5355317" y="3651250"/>
          <a:ext cx="5083340" cy="3667747"/>
        </a:xfrm>
        <a:prstGeom prst="rect">
          <a:avLst/>
        </a:prstGeom>
        <a:ln>
          <a:noFill/>
        </a:ln>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12</xdr:row>
          <xdr:rowOff>12700</xdr:rowOff>
        </xdr:from>
        <xdr:to>
          <xdr:col>4</xdr:col>
          <xdr:colOff>254000</xdr:colOff>
          <xdr:row>12</xdr:row>
          <xdr:rowOff>215900</xdr:rowOff>
        </xdr:to>
        <xdr:sp macro="" textlink="">
          <xdr:nvSpPr>
            <xdr:cNvPr id="75781" name="Drop Down 5" hidden="1">
              <a:extLst>
                <a:ext uri="{63B3BB69-23CF-44E3-9099-C40C66FF867C}">
                  <a14:compatExt spid="_x0000_s75781"/>
                </a:ext>
                <a:ext uri="{FF2B5EF4-FFF2-40B4-BE49-F238E27FC236}">
                  <a16:creationId xmlns:a16="http://schemas.microsoft.com/office/drawing/2014/main" id="{00000000-0008-0000-1600-000005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12700</xdr:rowOff>
        </xdr:from>
        <xdr:to>
          <xdr:col>4</xdr:col>
          <xdr:colOff>254000</xdr:colOff>
          <xdr:row>13</xdr:row>
          <xdr:rowOff>215900</xdr:rowOff>
        </xdr:to>
        <xdr:sp macro="" textlink="">
          <xdr:nvSpPr>
            <xdr:cNvPr id="75782" name="Drop Down 6" hidden="1">
              <a:extLst>
                <a:ext uri="{63B3BB69-23CF-44E3-9099-C40C66FF867C}">
                  <a14:compatExt spid="_x0000_s75782"/>
                </a:ext>
                <a:ext uri="{FF2B5EF4-FFF2-40B4-BE49-F238E27FC236}">
                  <a16:creationId xmlns:a16="http://schemas.microsoft.com/office/drawing/2014/main" id="{00000000-0008-0000-1600-000006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10</xdr:row>
          <xdr:rowOff>12700</xdr:rowOff>
        </xdr:from>
        <xdr:to>
          <xdr:col>6</xdr:col>
          <xdr:colOff>38100</xdr:colOff>
          <xdr:row>10</xdr:row>
          <xdr:rowOff>215900</xdr:rowOff>
        </xdr:to>
        <xdr:sp macro="" textlink="">
          <xdr:nvSpPr>
            <xdr:cNvPr id="75783" name="Drop Down 7" hidden="1">
              <a:extLst>
                <a:ext uri="{63B3BB69-23CF-44E3-9099-C40C66FF867C}">
                  <a14:compatExt spid="_x0000_s75783"/>
                </a:ext>
                <a:ext uri="{FF2B5EF4-FFF2-40B4-BE49-F238E27FC236}">
                  <a16:creationId xmlns:a16="http://schemas.microsoft.com/office/drawing/2014/main" id="{00000000-0008-0000-1600-000007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9</xdr:row>
          <xdr:rowOff>25400</xdr:rowOff>
        </xdr:from>
        <xdr:to>
          <xdr:col>4</xdr:col>
          <xdr:colOff>101600</xdr:colOff>
          <xdr:row>9</xdr:row>
          <xdr:rowOff>228600</xdr:rowOff>
        </xdr:to>
        <xdr:sp macro="" textlink="">
          <xdr:nvSpPr>
            <xdr:cNvPr id="75784" name="Drop Down 8" hidden="1">
              <a:extLst>
                <a:ext uri="{63B3BB69-23CF-44E3-9099-C40C66FF867C}">
                  <a14:compatExt spid="_x0000_s75784"/>
                </a:ext>
                <a:ext uri="{FF2B5EF4-FFF2-40B4-BE49-F238E27FC236}">
                  <a16:creationId xmlns:a16="http://schemas.microsoft.com/office/drawing/2014/main" id="{00000000-0008-0000-1600-000008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3" Type="http://schemas.openxmlformats.org/officeDocument/2006/relationships/vmlDrawing" Target="../drawings/vmlDrawing3.vml"/><Relationship Id="rId7" Type="http://schemas.openxmlformats.org/officeDocument/2006/relationships/ctrlProp" Target="../ctrlProps/ctrlProp18.xml"/><Relationship Id="rId12" Type="http://schemas.openxmlformats.org/officeDocument/2006/relationships/ctrlProp" Target="../ctrlProps/ctrlProp2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vmlDrawing" Target="../drawings/vmlDrawing5.v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 Type="http://schemas.openxmlformats.org/officeDocument/2006/relationships/drawing" Target="../drawings/drawing5.xml"/><Relationship Id="rId16" Type="http://schemas.openxmlformats.org/officeDocument/2006/relationships/ctrlProp" Target="../ctrlProps/ctrlProp49.xml"/><Relationship Id="rId1" Type="http://schemas.openxmlformats.org/officeDocument/2006/relationships/printerSettings" Target="../printerSettings/printerSettings5.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5" Type="http://schemas.openxmlformats.org/officeDocument/2006/relationships/ctrlProp" Target="../ctrlProps/ctrlProp4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 Id="rId14"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18" Type="http://schemas.openxmlformats.org/officeDocument/2006/relationships/comments" Target="../comments2.xml"/><Relationship Id="rId3" Type="http://schemas.openxmlformats.org/officeDocument/2006/relationships/vmlDrawing" Target="../drawings/vmlDrawing8.vml"/><Relationship Id="rId7" Type="http://schemas.openxmlformats.org/officeDocument/2006/relationships/ctrlProp" Target="../ctrlProps/ctrlProp67.xml"/><Relationship Id="rId12" Type="http://schemas.openxmlformats.org/officeDocument/2006/relationships/ctrlProp" Target="../ctrlProps/ctrlProp72.xml"/><Relationship Id="rId17" Type="http://schemas.openxmlformats.org/officeDocument/2006/relationships/ctrlProp" Target="../ctrlProps/ctrlProp77.xml"/><Relationship Id="rId2" Type="http://schemas.openxmlformats.org/officeDocument/2006/relationships/drawing" Target="../drawings/drawing9.xml"/><Relationship Id="rId16" Type="http://schemas.openxmlformats.org/officeDocument/2006/relationships/ctrlProp" Target="../ctrlProps/ctrlProp76.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5" Type="http://schemas.openxmlformats.org/officeDocument/2006/relationships/ctrlProp" Target="../ctrlProps/ctrlProp7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 Id="rId14" Type="http://schemas.openxmlformats.org/officeDocument/2006/relationships/ctrlProp" Target="../ctrlProps/ctrlProp7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9.vml"/><Relationship Id="rId1" Type="http://schemas.openxmlformats.org/officeDocument/2006/relationships/drawing" Target="../drawings/drawing10.xml"/><Relationship Id="rId4" Type="http://schemas.openxmlformats.org/officeDocument/2006/relationships/ctrlProp" Target="../ctrlProps/ctrlProp7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0.xml"/><Relationship Id="rId7" Type="http://schemas.openxmlformats.org/officeDocument/2006/relationships/ctrlProp" Target="../ctrlProps/ctrlProp84.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0.xml"/><Relationship Id="rId13" Type="http://schemas.openxmlformats.org/officeDocument/2006/relationships/ctrlProp" Target="../ctrlProps/ctrlProp95.xml"/><Relationship Id="rId3" Type="http://schemas.openxmlformats.org/officeDocument/2006/relationships/ctrlProp" Target="../ctrlProps/ctrlProp85.xml"/><Relationship Id="rId7" Type="http://schemas.openxmlformats.org/officeDocument/2006/relationships/ctrlProp" Target="../ctrlProps/ctrlProp89.xml"/><Relationship Id="rId12" Type="http://schemas.openxmlformats.org/officeDocument/2006/relationships/ctrlProp" Target="../ctrlProps/ctrlProp94.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88.xml"/><Relationship Id="rId11" Type="http://schemas.openxmlformats.org/officeDocument/2006/relationships/ctrlProp" Target="../ctrlProps/ctrlProp93.xml"/><Relationship Id="rId5" Type="http://schemas.openxmlformats.org/officeDocument/2006/relationships/ctrlProp" Target="../ctrlProps/ctrlProp87.xml"/><Relationship Id="rId10" Type="http://schemas.openxmlformats.org/officeDocument/2006/relationships/ctrlProp" Target="../ctrlProps/ctrlProp92.xml"/><Relationship Id="rId4" Type="http://schemas.openxmlformats.org/officeDocument/2006/relationships/ctrlProp" Target="../ctrlProps/ctrlProp86.xml"/><Relationship Id="rId9" Type="http://schemas.openxmlformats.org/officeDocument/2006/relationships/ctrlProp" Target="../ctrlProps/ctrlProp91.xml"/><Relationship Id="rId14" Type="http://schemas.openxmlformats.org/officeDocument/2006/relationships/ctrlProp" Target="../ctrlProps/ctrlProp9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ctrlProp" Target="../ctrlProps/ctrlProp97.x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8.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ctrlProp" Target="../ctrlProps/ctrlProp1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https://www.nrel.gov/gis/solar.html" TargetMode="External"/><Relationship Id="rId7" Type="http://schemas.openxmlformats.org/officeDocument/2006/relationships/hyperlink" Target="https://globalsolaratlas.info/map?c=41.253032,-0.241699,6&amp;s=43.628123,5.625&amp;m=site" TargetMode="External"/><Relationship Id="rId2" Type="http://schemas.openxmlformats.org/officeDocument/2006/relationships/hyperlink" Target="https://www.groupe-casino.fr/en/group/activities/green-yellow/" TargetMode="External"/><Relationship Id="rId1" Type="http://schemas.openxmlformats.org/officeDocument/2006/relationships/hyperlink" Target="https://globalsolaratlas.info/map?c=10.874779,-74.792175,11&amp;s=11.023428,-74.823074" TargetMode="External"/><Relationship Id="rId6" Type="http://schemas.openxmlformats.org/officeDocument/2006/relationships/hyperlink" Target="https://globalsolaratlas.info/map?c=19.55979,67.5,3" TargetMode="External"/><Relationship Id="rId5" Type="http://schemas.openxmlformats.org/officeDocument/2006/relationships/hyperlink" Target="https://emp.lbl.gov/tracking-the-sun/" TargetMode="External"/><Relationship Id="rId4" Type="http://schemas.openxmlformats.org/officeDocument/2006/relationships/hyperlink" Target="https://www.nrel.gov/gis/data-tools.html"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www.sciencebase.gov/catalog/item/57bdfd8fe4b03fd6b7df5ff9" TargetMode="External"/><Relationship Id="rId3" Type="http://schemas.openxmlformats.org/officeDocument/2006/relationships/hyperlink" Target="https://www.solarreviews.com/solar-panels/solar-panel-cost/" TargetMode="External"/><Relationship Id="rId7" Type="http://schemas.openxmlformats.org/officeDocument/2006/relationships/hyperlink" Target="https://ec.europa.eu/jrc/en/PVGIS/downloads/NSRDB" TargetMode="External"/><Relationship Id="rId12" Type="http://schemas.openxmlformats.org/officeDocument/2006/relationships/printerSettings" Target="../printerSettings/printerSettings13.bin"/><Relationship Id="rId2" Type="http://schemas.openxmlformats.org/officeDocument/2006/relationships/hyperlink" Target="https://developer.nrel.gov/docs/solar/" TargetMode="External"/><Relationship Id="rId1" Type="http://schemas.openxmlformats.org/officeDocument/2006/relationships/hyperlink" Target="https://energydata.info/" TargetMode="External"/><Relationship Id="rId6" Type="http://schemas.openxmlformats.org/officeDocument/2006/relationships/hyperlink" Target="https://ec.europa.eu/jrc/en/pvgis" TargetMode="External"/><Relationship Id="rId11" Type="http://schemas.openxmlformats.org/officeDocument/2006/relationships/hyperlink" Target="https://emp.lbl.gov/wind-power-purchase-agreement-ppa-prices" TargetMode="External"/><Relationship Id="rId5" Type="http://schemas.openxmlformats.org/officeDocument/2006/relationships/hyperlink" Target="https://en.wikipedia.org/wiki/Solar_irradiance" TargetMode="External"/><Relationship Id="rId10" Type="http://schemas.openxmlformats.org/officeDocument/2006/relationships/hyperlink" Target="https://emp.lbl.gov/pv-ppa-prices" TargetMode="External"/><Relationship Id="rId4" Type="http://schemas.openxmlformats.org/officeDocument/2006/relationships/hyperlink" Target="https://news.energysage.com/how-long-do-solar-panels-last/" TargetMode="External"/><Relationship Id="rId9" Type="http://schemas.openxmlformats.org/officeDocument/2006/relationships/hyperlink" Target="https://emp.lbl.gov/us-wind-turbine-database" TargetMode="Externa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15.vml"/><Relationship Id="rId1" Type="http://schemas.openxmlformats.org/officeDocument/2006/relationships/drawing" Target="../drawings/drawing18.xml"/><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A1:Y98"/>
  <sheetViews>
    <sheetView topLeftCell="A6" zoomScale="85" zoomScaleNormal="85" workbookViewId="0">
      <selection activeCell="Y6" sqref="Y6"/>
    </sheetView>
  </sheetViews>
  <sheetFormatPr baseColWidth="10" defaultColWidth="8.83203125" defaultRowHeight="13" outlineLevelRow="1"/>
  <cols>
    <col min="1" max="1" width="2.6640625" customWidth="1"/>
    <col min="2" max="2" width="1.5" customWidth="1"/>
    <col min="3" max="3" width="2.6640625" customWidth="1"/>
    <col min="5" max="5" width="19.5" customWidth="1"/>
    <col min="7" max="7" width="2.1640625" customWidth="1"/>
    <col min="8" max="8" width="13.83203125" style="1" customWidth="1"/>
    <col min="9" max="9" width="8.6640625" style="1320" customWidth="1"/>
    <col min="10" max="10" width="2" style="1" customWidth="1"/>
    <col min="11" max="11" width="15.83203125" style="1" customWidth="1"/>
    <col min="12" max="12" width="7.5" style="1320" customWidth="1"/>
    <col min="13" max="13" width="2" style="1" customWidth="1"/>
    <col min="14" max="14" width="15.83203125" style="1" customWidth="1"/>
    <col min="15" max="15" width="7.5" style="1320" customWidth="1"/>
    <col min="16" max="16" width="2" customWidth="1"/>
    <col min="17" max="17" width="6.5" customWidth="1"/>
    <col min="18" max="18" width="7.5" customWidth="1"/>
    <col min="19" max="19" width="8.33203125" customWidth="1"/>
    <col min="22" max="22" width="18" customWidth="1"/>
    <col min="23" max="23" width="16.5" customWidth="1"/>
    <col min="24" max="24" width="1.5" customWidth="1"/>
  </cols>
  <sheetData>
    <row r="1" spans="1:25" ht="26.25" customHeight="1">
      <c r="A1" s="1325" t="s">
        <v>897</v>
      </c>
    </row>
    <row r="2" spans="1:25">
      <c r="B2" s="969" t="s">
        <v>978</v>
      </c>
    </row>
    <row r="4" spans="1:25" ht="3.75" customHeight="1">
      <c r="D4" s="119"/>
    </row>
    <row r="5" spans="1:25" s="6" customFormat="1" ht="14.25" customHeight="1">
      <c r="B5" s="491" t="s">
        <v>887</v>
      </c>
      <c r="H5" s="45"/>
      <c r="I5" s="1322"/>
      <c r="J5" s="45"/>
      <c r="K5" s="45"/>
      <c r="L5" s="1322"/>
      <c r="M5" s="491" t="s">
        <v>891</v>
      </c>
      <c r="O5" s="1322"/>
    </row>
    <row r="6" spans="1:25" ht="15.75" customHeight="1">
      <c r="C6" t="s">
        <v>813</v>
      </c>
      <c r="F6" s="1308">
        <f ca="1">1000*OFFSET('DropDown menus'!$AW$11,'DropDown menus'!$AU$8,0)</f>
        <v>3000</v>
      </c>
      <c r="G6" s="1308" t="s">
        <v>354</v>
      </c>
      <c r="M6"/>
      <c r="N6" s="1381" t="s">
        <v>910</v>
      </c>
      <c r="O6" s="1323"/>
      <c r="P6" s="407"/>
      <c r="Q6" s="407"/>
      <c r="R6" s="407"/>
      <c r="S6" s="407"/>
      <c r="Y6" s="408" t="s">
        <v>968</v>
      </c>
    </row>
    <row r="7" spans="1:25">
      <c r="C7" t="s">
        <v>888</v>
      </c>
      <c r="F7" s="1308">
        <f ca="1">OFFSET('DropDown menus'!$AU$11,'DropDown menus'!$AU$8,0)</f>
        <v>24</v>
      </c>
      <c r="G7" s="1308" t="s">
        <v>161</v>
      </c>
      <c r="M7"/>
      <c r="O7" s="1324"/>
      <c r="P7" s="1308"/>
      <c r="Q7" s="1374" t="s">
        <v>930</v>
      </c>
      <c r="R7" s="1374">
        <v>20</v>
      </c>
      <c r="S7" s="1308" t="s">
        <v>61</v>
      </c>
    </row>
    <row r="8" spans="1:25" s="542" customFormat="1">
      <c r="D8" s="119"/>
      <c r="E8" s="1317" t="s">
        <v>889</v>
      </c>
      <c r="F8" s="1380">
        <f ca="1">F7*F6/1000</f>
        <v>72</v>
      </c>
      <c r="G8" s="1318" t="s">
        <v>177</v>
      </c>
      <c r="H8" s="876"/>
      <c r="I8" s="1320"/>
      <c r="J8" s="733"/>
      <c r="K8" s="733"/>
      <c r="L8" s="1320"/>
      <c r="M8" s="733"/>
      <c r="N8" s="1373"/>
      <c r="O8" s="1375"/>
      <c r="P8" s="1308"/>
      <c r="Q8" s="1374" t="s">
        <v>945</v>
      </c>
      <c r="R8" s="1390">
        <v>0.06</v>
      </c>
      <c r="S8" s="1308" t="s">
        <v>1</v>
      </c>
      <c r="T8" t="s">
        <v>967</v>
      </c>
      <c r="U8"/>
      <c r="V8"/>
    </row>
    <row r="9" spans="1:25" ht="12.75" customHeight="1">
      <c r="E9" s="532"/>
      <c r="N9" s="1308"/>
      <c r="O9" s="1375"/>
      <c r="P9" s="1308"/>
      <c r="Q9" s="1374" t="s">
        <v>947</v>
      </c>
      <c r="R9" s="1176">
        <v>0.04</v>
      </c>
      <c r="S9" s="1310" t="s">
        <v>896</v>
      </c>
      <c r="T9" s="542" t="s">
        <v>946</v>
      </c>
      <c r="U9" s="542"/>
      <c r="V9" s="542"/>
    </row>
    <row r="10" spans="1:25">
      <c r="C10" t="s">
        <v>8</v>
      </c>
      <c r="F10" s="1308">
        <v>2</v>
      </c>
      <c r="G10" s="1308" t="s">
        <v>962</v>
      </c>
      <c r="N10" s="1440" t="s">
        <v>959</v>
      </c>
      <c r="O10" s="1440"/>
      <c r="P10" s="1440"/>
      <c r="Q10" s="1440"/>
      <c r="R10" s="1440"/>
      <c r="S10" s="1440"/>
      <c r="T10" s="1440"/>
      <c r="U10" s="1440"/>
      <c r="V10" s="1440"/>
    </row>
    <row r="11" spans="1:25">
      <c r="F11" s="498">
        <f>F10*12</f>
        <v>24</v>
      </c>
      <c r="G11" s="498" t="s">
        <v>890</v>
      </c>
      <c r="H11" s="1313"/>
      <c r="I11" s="1321"/>
      <c r="L11" s="1321"/>
      <c r="N11" s="1440"/>
      <c r="O11" s="1440"/>
      <c r="P11" s="1440"/>
      <c r="Q11" s="1440"/>
      <c r="R11" s="1440"/>
      <c r="S11" s="1440"/>
      <c r="T11" s="1440"/>
      <c r="U11" s="1440"/>
      <c r="V11" s="1440"/>
    </row>
    <row r="12" spans="1:25" ht="6.75" customHeight="1"/>
    <row r="13" spans="1:25" s="119" customFormat="1" ht="15" customHeight="1">
      <c r="B13" s="1309"/>
      <c r="C13" s="1446" t="s">
        <v>899</v>
      </c>
      <c r="D13" s="1446"/>
      <c r="E13" s="1446"/>
      <c r="F13" s="1309"/>
      <c r="H13" s="1447" t="s">
        <v>15</v>
      </c>
      <c r="I13" s="1448"/>
      <c r="J13" s="1"/>
      <c r="K13" s="1447" t="s">
        <v>14</v>
      </c>
      <c r="L13" s="1448"/>
      <c r="M13" s="536"/>
      <c r="N13" s="1447" t="s">
        <v>4</v>
      </c>
      <c r="O13" s="1448"/>
    </row>
    <row r="14" spans="1:25" s="6" customFormat="1" ht="15" customHeight="1">
      <c r="B14" s="900"/>
      <c r="C14" s="1446"/>
      <c r="D14" s="1446"/>
      <c r="E14" s="1446"/>
      <c r="F14" s="1354"/>
      <c r="H14" s="1449" t="s">
        <v>892</v>
      </c>
      <c r="I14" s="1450"/>
      <c r="J14" s="1"/>
      <c r="K14" s="1449" t="s">
        <v>893</v>
      </c>
      <c r="L14" s="1450"/>
      <c r="M14" s="536"/>
      <c r="N14" s="1449" t="s">
        <v>955</v>
      </c>
      <c r="O14" s="1450"/>
    </row>
    <row r="15" spans="1:25" ht="3.75" customHeight="1" thickBot="1">
      <c r="G15" s="6"/>
      <c r="H15" s="1326"/>
      <c r="I15" s="1327"/>
      <c r="K15" s="1326"/>
      <c r="L15" s="1327"/>
      <c r="M15" s="536"/>
      <c r="N15" s="1326"/>
      <c r="O15" s="1327"/>
    </row>
    <row r="16" spans="1:25" s="6" customFormat="1" ht="14.25" customHeight="1">
      <c r="B16" s="1366" t="s">
        <v>932</v>
      </c>
      <c r="C16" s="1367"/>
      <c r="D16" s="1367"/>
      <c r="E16" s="1367"/>
      <c r="F16" s="1367"/>
      <c r="G16" s="1393"/>
      <c r="H16" s="1368"/>
      <c r="I16" s="1369"/>
      <c r="J16" s="1"/>
      <c r="K16" s="1368"/>
      <c r="L16" s="1369"/>
      <c r="M16" s="536"/>
      <c r="N16" s="1368"/>
      <c r="O16" s="1369"/>
      <c r="Q16" s="1400"/>
      <c r="R16" s="1400"/>
      <c r="S16" s="1400"/>
      <c r="T16" s="1400"/>
      <c r="U16" s="1400"/>
      <c r="V16" s="1400"/>
    </row>
    <row r="17" spans="2:22" s="119" customFormat="1">
      <c r="B17" s="1360"/>
      <c r="C17" s="119" t="s">
        <v>972</v>
      </c>
      <c r="F17" s="814" t="s">
        <v>253</v>
      </c>
      <c r="G17" s="1392"/>
      <c r="H17" s="1328">
        <f ca="1">H18/H80*1000</f>
        <v>128.25643077743919</v>
      </c>
      <c r="I17" s="1351" t="s">
        <v>931</v>
      </c>
      <c r="J17" s="1"/>
      <c r="K17" s="1328">
        <f ca="1">K18/K80*1000</f>
        <v>270.18855940799045</v>
      </c>
      <c r="L17" s="1351" t="s">
        <v>931</v>
      </c>
      <c r="M17" s="536"/>
      <c r="N17" s="1328">
        <f ca="1">N18/N80*1000</f>
        <v>58.887250127382551</v>
      </c>
      <c r="O17" s="1351" t="s">
        <v>931</v>
      </c>
      <c r="Q17" s="542" t="s">
        <v>970</v>
      </c>
    </row>
    <row r="18" spans="2:22" s="119" customFormat="1">
      <c r="B18" s="1360"/>
      <c r="C18" s="119" t="s">
        <v>911</v>
      </c>
      <c r="F18" s="814"/>
      <c r="G18" s="1392"/>
      <c r="H18" s="1337">
        <f ca="1">DC_required_kWh/H42/H46</f>
        <v>102.85714285714286</v>
      </c>
      <c r="I18" s="1351" t="s">
        <v>177</v>
      </c>
      <c r="J18" s="1"/>
      <c r="K18" s="1337">
        <f ca="1">DC_required_kWh/K42/K46</f>
        <v>137.14285714285714</v>
      </c>
      <c r="L18" s="1351" t="s">
        <v>177</v>
      </c>
      <c r="M18" s="536"/>
      <c r="N18" s="1337">
        <f ca="1">DC_required_kWh/N42/N46</f>
        <v>114.28571428571429</v>
      </c>
      <c r="O18" s="1351" t="s">
        <v>177</v>
      </c>
      <c r="Q18" s="542" t="s">
        <v>937</v>
      </c>
    </row>
    <row r="19" spans="2:22">
      <c r="B19" s="735"/>
      <c r="C19" s="11" t="s">
        <v>914</v>
      </c>
      <c r="F19" s="532"/>
      <c r="G19" s="1392"/>
      <c r="H19" s="1330">
        <f ca="1">H17*H78</f>
        <v>1914.7252747252749</v>
      </c>
      <c r="I19" s="1350" t="s">
        <v>206</v>
      </c>
      <c r="K19" s="1330">
        <f ca="1">K17*K78</f>
        <v>4033.6134453781506</v>
      </c>
      <c r="L19" s="1350" t="s">
        <v>206</v>
      </c>
      <c r="M19" s="536"/>
      <c r="N19" s="1330">
        <f ca="1">N17*N78</f>
        <v>879.12087912087918</v>
      </c>
      <c r="O19" s="1350" t="s">
        <v>206</v>
      </c>
      <c r="Q19" s="542"/>
      <c r="R19" s="542"/>
      <c r="S19" s="542"/>
      <c r="T19" s="542"/>
      <c r="U19" s="542"/>
      <c r="V19" s="542"/>
    </row>
    <row r="20" spans="2:22" ht="15">
      <c r="B20" s="735"/>
      <c r="C20" s="11" t="s">
        <v>909</v>
      </c>
      <c r="G20" s="1392"/>
      <c r="H20" s="1330">
        <f ca="1">H17*$Q20</f>
        <v>1908.9687156914047</v>
      </c>
      <c r="I20" s="1350" t="s">
        <v>954</v>
      </c>
      <c r="K20" s="1330">
        <f ca="1">K17*$Q20</f>
        <v>4021.4865182285293</v>
      </c>
      <c r="L20" s="1350" t="s">
        <v>954</v>
      </c>
      <c r="M20" s="536"/>
      <c r="N20" s="1330">
        <f ca="1">N17*$Q20</f>
        <v>876.4778308959618</v>
      </c>
      <c r="O20" s="1350" t="s">
        <v>954</v>
      </c>
      <c r="Q20" s="1401">
        <f>'Container system'!P13</f>
        <v>14.883999999999999</v>
      </c>
      <c r="R20" s="542" t="s">
        <v>915</v>
      </c>
      <c r="S20" s="542"/>
      <c r="T20" s="542"/>
      <c r="U20" s="542"/>
      <c r="V20" s="542"/>
    </row>
    <row r="21" spans="2:22" ht="6.75" customHeight="1">
      <c r="B21" s="735"/>
      <c r="G21" s="1392"/>
      <c r="H21" s="1330"/>
      <c r="I21" s="1331"/>
      <c r="K21" s="1330"/>
      <c r="L21" s="1331"/>
      <c r="M21" s="536"/>
      <c r="N21" s="1330"/>
      <c r="O21" s="1331"/>
      <c r="Q21" s="1401"/>
      <c r="R21" s="542"/>
      <c r="S21" s="542"/>
      <c r="T21" s="542"/>
      <c r="U21" s="542"/>
      <c r="V21" s="542"/>
    </row>
    <row r="22" spans="2:22" s="119" customFormat="1">
      <c r="B22" s="1360"/>
      <c r="C22" s="119" t="s">
        <v>901</v>
      </c>
      <c r="G22" s="1392"/>
      <c r="H22" s="1406">
        <f ca="1">H17*H77*H80</f>
        <v>6152825.8172786003</v>
      </c>
      <c r="I22" s="1407"/>
      <c r="J22" s="1"/>
      <c r="K22" s="1406">
        <f ca="1">K17*K77*K80</f>
        <v>14763418.276979621</v>
      </c>
      <c r="L22" s="1407"/>
      <c r="M22" s="536"/>
      <c r="N22" s="1406">
        <f ca="1">N17*N77*N80</f>
        <v>12282365.989516821</v>
      </c>
      <c r="O22" s="1407"/>
    </row>
    <row r="23" spans="2:22" s="542" customFormat="1">
      <c r="B23" s="1361"/>
      <c r="D23" s="542" t="s">
        <v>928</v>
      </c>
      <c r="G23" s="1392"/>
      <c r="H23" s="1409">
        <f ca="1">H57*H18*1000</f>
        <v>2033007.6</v>
      </c>
      <c r="I23" s="1332">
        <f ca="1">H23/H$22</f>
        <v>0.33041851994100507</v>
      </c>
      <c r="J23" s="1"/>
      <c r="K23" s="1409">
        <f ca="1">K57*K18*1000</f>
        <v>10123827.504580608</v>
      </c>
      <c r="L23" s="1332">
        <f t="shared" ref="L23" ca="1" si="0">K23/K$22</f>
        <v>0.68573736208277325</v>
      </c>
      <c r="M23" s="536"/>
      <c r="N23" s="1409">
        <f ca="1">N57*N18*1000</f>
        <v>9041141.2661021817</v>
      </c>
      <c r="O23" s="1332">
        <f t="shared" ref="O23:O25" ca="1" si="1">N23/N$22</f>
        <v>0.73610746283077122</v>
      </c>
    </row>
    <row r="24" spans="2:22" s="542" customFormat="1">
      <c r="B24" s="1361"/>
      <c r="D24" s="542" t="s">
        <v>929</v>
      </c>
      <c r="G24" s="1392"/>
      <c r="H24" s="1408">
        <f ca="1">(H67-H57)*H18*1000</f>
        <v>1756017.1047742169</v>
      </c>
      <c r="I24" s="1332">
        <f t="shared" ref="I24:I26" ca="1" si="2">H24/H$22</f>
        <v>0.28540010020158585</v>
      </c>
      <c r="J24" s="1"/>
      <c r="K24" s="1408">
        <f ca="1">(K67-K57)*K18*1000</f>
        <v>506191.37522903003</v>
      </c>
      <c r="L24" s="1332">
        <f t="shared" ref="L24" ca="1" si="3">K24/K$22</f>
        <v>3.428686810413864E-2</v>
      </c>
      <c r="M24" s="536"/>
      <c r="N24" s="1408">
        <f ca="1">(N67-N57)*N18*1000</f>
        <v>1356171.1899153271</v>
      </c>
      <c r="O24" s="1332">
        <f t="shared" ca="1" si="1"/>
        <v>0.11041611942461567</v>
      </c>
    </row>
    <row r="25" spans="2:22" s="542" customFormat="1">
      <c r="B25" s="1361"/>
      <c r="D25" s="542" t="s">
        <v>933</v>
      </c>
      <c r="G25" s="1392"/>
      <c r="H25" s="1408">
        <f ca="1">$Q25*DC_nomin_kW</f>
        <v>62719.062339001626</v>
      </c>
      <c r="I25" s="1332">
        <f t="shared" ca="1" si="2"/>
        <v>1.0193537766479844E-2</v>
      </c>
      <c r="J25" s="1"/>
      <c r="K25" s="1408">
        <f ca="1">$Q25*DC_nomin_kW</f>
        <v>62719.062339001626</v>
      </c>
      <c r="L25" s="1377">
        <f t="shared" ref="L25" ca="1" si="4">K25/K$22</f>
        <v>4.2482751055559079E-3</v>
      </c>
      <c r="M25" s="536"/>
      <c r="N25" s="1408">
        <f ca="1">$Q25*DC_nomin_kW</f>
        <v>62719.062339001626</v>
      </c>
      <c r="O25" s="1377">
        <f t="shared" ca="1" si="1"/>
        <v>5.1064316429369769E-3</v>
      </c>
      <c r="Q25" s="1389">
        <f ca="1">'TCO Solar Farm-Containers'!$N$94*(1-Inverter_cost_ydecr)^(opt_year-2019)</f>
        <v>20.906354113000543</v>
      </c>
      <c r="R25" s="1402" t="s">
        <v>499</v>
      </c>
      <c r="S25" s="1376"/>
    </row>
    <row r="26" spans="2:22" s="542" customFormat="1">
      <c r="B26" s="1361"/>
      <c r="D26" s="542" t="s">
        <v>971</v>
      </c>
      <c r="G26" s="1392"/>
      <c r="H26" s="1409">
        <f ca="1">H22-SUM(H23:H25)</f>
        <v>2301082.0501653817</v>
      </c>
      <c r="I26" s="1332">
        <f t="shared" ca="1" si="2"/>
        <v>0.37398784209092922</v>
      </c>
      <c r="J26" s="1"/>
      <c r="K26" s="1409">
        <f ca="1">K22-SUM(K23:K25)</f>
        <v>4070680.3348309807</v>
      </c>
      <c r="L26" s="1332">
        <f ca="1">K26/K$22</f>
        <v>0.27572749470753205</v>
      </c>
      <c r="M26" s="536"/>
      <c r="N26" s="1409">
        <f ca="1">N22-SUM(N23:N25)</f>
        <v>1822334.4711603094</v>
      </c>
      <c r="O26" s="1332">
        <f ca="1">N26/N$22</f>
        <v>0.14836998610167607</v>
      </c>
    </row>
    <row r="27" spans="2:22" ht="6.75" customHeight="1">
      <c r="B27" s="735"/>
      <c r="G27" s="1392"/>
      <c r="H27" s="1330"/>
      <c r="I27" s="1331"/>
      <c r="K27" s="1330"/>
      <c r="L27" s="1331"/>
      <c r="M27" s="536"/>
      <c r="N27" s="1330"/>
      <c r="O27" s="1331"/>
      <c r="Q27" s="542"/>
      <c r="R27" s="1401"/>
      <c r="S27" s="542"/>
      <c r="T27" s="542"/>
      <c r="U27" s="542"/>
      <c r="V27" s="542"/>
    </row>
    <row r="28" spans="2:22">
      <c r="B28" s="735"/>
      <c r="C28" s="119" t="s">
        <v>902</v>
      </c>
      <c r="G28" s="1392"/>
      <c r="H28" s="1406">
        <f ca="1">H29+H31+H32</f>
        <v>8342439.806936359</v>
      </c>
      <c r="I28" s="1331"/>
      <c r="K28" s="1406">
        <f t="shared" ref="K28" ca="1" si="5">K29+K31+K32</f>
        <v>9543001.1947898529</v>
      </c>
      <c r="L28" s="1331"/>
      <c r="M28" s="536"/>
      <c r="N28" s="1406">
        <f t="shared" ref="N28" ca="1" si="6">N29+N31+N32</f>
        <v>7980903.3938080892</v>
      </c>
      <c r="O28" s="1331"/>
      <c r="Q28" s="542"/>
      <c r="R28" s="1401"/>
      <c r="S28" s="542"/>
      <c r="T28" s="542"/>
      <c r="U28" s="542"/>
      <c r="V28" s="542"/>
    </row>
    <row r="29" spans="2:22">
      <c r="B29" s="735"/>
      <c r="C29" s="119"/>
      <c r="D29" s="542" t="s">
        <v>961</v>
      </c>
      <c r="G29" s="1392"/>
      <c r="H29" s="1409">
        <f ca="1">H30*H22*DC_project_years</f>
        <v>4922260.6538228802</v>
      </c>
      <c r="I29" s="1391" t="s">
        <v>965</v>
      </c>
      <c r="K29" s="1409">
        <f ca="1">K30*K22*DC_project_years</f>
        <v>5905367.3107918492</v>
      </c>
      <c r="L29" s="1391" t="s">
        <v>965</v>
      </c>
      <c r="M29" s="536"/>
      <c r="N29" s="1409">
        <f ca="1">N30*N22*DC_project_years</f>
        <v>4912946.3958067279</v>
      </c>
      <c r="O29" s="1391" t="s">
        <v>965</v>
      </c>
      <c r="Q29" s="542"/>
      <c r="R29" s="1401"/>
      <c r="S29" s="542">
        <f>(1-5%)^6</f>
        <v>0.73509189062499991</v>
      </c>
      <c r="T29" s="542"/>
      <c r="U29" s="542"/>
      <c r="V29" s="542"/>
    </row>
    <row r="30" spans="2:22" s="1370" customFormat="1">
      <c r="B30" s="1396"/>
      <c r="C30" s="1318"/>
      <c r="D30" s="1397" t="s">
        <v>960</v>
      </c>
      <c r="G30" s="1395"/>
      <c r="H30" s="1399">
        <v>0.04</v>
      </c>
      <c r="I30" s="1331" t="s">
        <v>524</v>
      </c>
      <c r="J30" s="1319"/>
      <c r="K30" s="1399">
        <v>0.02</v>
      </c>
      <c r="L30" s="1331" t="s">
        <v>524</v>
      </c>
      <c r="M30" s="876"/>
      <c r="N30" s="1399">
        <v>0.02</v>
      </c>
      <c r="O30" s="1331" t="s">
        <v>524</v>
      </c>
      <c r="Q30" s="542"/>
      <c r="R30" s="1401"/>
      <c r="S30" s="542">
        <f>(1-5%)^12</f>
        <v>0.54036008766263688</v>
      </c>
      <c r="T30" s="542"/>
      <c r="U30" s="542"/>
      <c r="V30" s="542"/>
    </row>
    <row r="31" spans="2:22">
      <c r="B31" s="735"/>
      <c r="C31" s="119"/>
      <c r="D31" s="542" t="s">
        <v>963</v>
      </c>
      <c r="G31" s="1392"/>
      <c r="H31" s="1409">
        <f ca="1">DC_project_years*DC_cyclesPyear*H52</f>
        <v>2189613.9896577587</v>
      </c>
      <c r="I31" s="1391" t="s">
        <v>965</v>
      </c>
      <c r="K31" s="1409">
        <f ca="1">DC_project_years*DC_cyclesPyear*K52</f>
        <v>684950.22860207921</v>
      </c>
      <c r="L31" s="1391" t="s">
        <v>965</v>
      </c>
      <c r="M31" s="536"/>
      <c r="N31" s="1409">
        <f ca="1">DC_project_years*DC_cyclesPyear*N52</f>
        <v>611483.80009799765</v>
      </c>
      <c r="O31" s="1391" t="s">
        <v>965</v>
      </c>
      <c r="Q31" s="542"/>
      <c r="R31" s="1401"/>
      <c r="S31" s="542">
        <f>S29+S30</f>
        <v>1.2754519782876368</v>
      </c>
      <c r="T31" s="542"/>
      <c r="U31" s="542"/>
      <c r="V31" s="542"/>
    </row>
    <row r="32" spans="2:22">
      <c r="B32" s="735"/>
      <c r="C32" s="119"/>
      <c r="D32" s="542" t="s">
        <v>973</v>
      </c>
      <c r="G32" s="1392"/>
      <c r="H32" s="1409">
        <f ca="1">H33*H22*DC_project_years</f>
        <v>1230565.1634557201</v>
      </c>
      <c r="I32" s="1391" t="s">
        <v>965</v>
      </c>
      <c r="K32" s="1409">
        <f ca="1">K33*K22*DC_project_years</f>
        <v>2952683.6553959246</v>
      </c>
      <c r="L32" s="1391" t="s">
        <v>965</v>
      </c>
      <c r="M32" s="536"/>
      <c r="N32" s="1409">
        <f ca="1">N33*N22*DC_project_years</f>
        <v>2456473.197903364</v>
      </c>
      <c r="O32" s="1391" t="s">
        <v>965</v>
      </c>
      <c r="Q32" s="542"/>
      <c r="R32" s="1401"/>
      <c r="S32" s="542"/>
      <c r="T32" s="542"/>
      <c r="U32" s="542"/>
      <c r="V32" s="542"/>
    </row>
    <row r="33" spans="2:22" s="1370" customFormat="1">
      <c r="B33" s="1396"/>
      <c r="C33" s="1318"/>
      <c r="D33" s="1397" t="s">
        <v>960</v>
      </c>
      <c r="G33" s="1395"/>
      <c r="H33" s="1398">
        <f>$Q33</f>
        <v>0.01</v>
      </c>
      <c r="I33" s="1331" t="s">
        <v>524</v>
      </c>
      <c r="J33" s="1319"/>
      <c r="K33" s="1398">
        <f t="shared" ref="K33" si="7">$Q33</f>
        <v>0.01</v>
      </c>
      <c r="L33" s="1331" t="s">
        <v>524</v>
      </c>
      <c r="M33" s="876"/>
      <c r="N33" s="1398">
        <f t="shared" ref="N33" si="8">$Q33</f>
        <v>0.01</v>
      </c>
      <c r="O33" s="1331" t="s">
        <v>524</v>
      </c>
      <c r="Q33" s="1405">
        <v>0.01</v>
      </c>
      <c r="R33" s="1401" t="s">
        <v>966</v>
      </c>
      <c r="S33" s="542"/>
      <c r="T33" s="542"/>
      <c r="U33" s="542"/>
      <c r="V33" s="542"/>
    </row>
    <row r="34" spans="2:22" ht="6.75" customHeight="1">
      <c r="B34" s="735"/>
      <c r="G34" s="1392"/>
      <c r="H34" s="1330"/>
      <c r="I34" s="1331"/>
      <c r="K34" s="1330"/>
      <c r="L34" s="1331"/>
      <c r="M34" s="536"/>
      <c r="N34" s="1330"/>
      <c r="O34" s="1331"/>
      <c r="Q34" s="542"/>
      <c r="R34" s="1401"/>
      <c r="S34" s="542"/>
      <c r="T34" s="542"/>
      <c r="U34" s="542"/>
      <c r="V34" s="542"/>
    </row>
    <row r="35" spans="2:22">
      <c r="B35" s="735"/>
      <c r="C35" s="119" t="s">
        <v>934</v>
      </c>
      <c r="G35" s="1392"/>
      <c r="H35" s="1406">
        <f ca="1">(1-H36)*H23*H37</f>
        <v>3117429.7308354774</v>
      </c>
      <c r="I35" s="1331"/>
      <c r="K35" s="1414">
        <f ca="1">(1-K36)*K23*K37</f>
        <v>1944581.741865139</v>
      </c>
      <c r="L35" s="1331"/>
      <c r="M35" s="536"/>
      <c r="N35" s="1414">
        <f ca="1">(1-N36)*N23*N37</f>
        <v>1487057.0179252899</v>
      </c>
      <c r="O35" s="1331"/>
      <c r="Q35" s="1403" t="s">
        <v>935</v>
      </c>
      <c r="R35" s="542"/>
      <c r="S35" s="542"/>
      <c r="T35" s="542"/>
      <c r="U35" s="542"/>
      <c r="V35" s="542"/>
    </row>
    <row r="36" spans="2:22">
      <c r="B36" s="735"/>
      <c r="F36" s="1311" t="s">
        <v>948</v>
      </c>
      <c r="G36" s="1392"/>
      <c r="H36" s="1343">
        <v>0</v>
      </c>
      <c r="I36" s="1378"/>
      <c r="K36" s="1343">
        <v>0.33</v>
      </c>
      <c r="L36" s="1378"/>
      <c r="M36" s="536"/>
      <c r="N36" s="1343">
        <v>0</v>
      </c>
      <c r="O36" s="1378"/>
      <c r="Q36" s="1403" t="s">
        <v>941</v>
      </c>
      <c r="R36" s="542"/>
      <c r="S36" s="542"/>
      <c r="T36" s="542"/>
      <c r="U36" s="542"/>
      <c r="V36" s="542"/>
    </row>
    <row r="37" spans="2:22" s="530" customFormat="1">
      <c r="B37" s="1362"/>
      <c r="F37" s="1312" t="s">
        <v>949</v>
      </c>
      <c r="G37" s="1392"/>
      <c r="H37" s="1379">
        <f>(1+H58)^H43+((1+H58)^(MIN(Q58,H43*2))*($R7-2*H43)/H43)</f>
        <v>1.5334078096095052</v>
      </c>
      <c r="I37" s="1378"/>
      <c r="J37" s="1"/>
      <c r="K37" s="1379">
        <f>((1+K58)^K43)*($R7-K43)/K43</f>
        <v>0.28668611821376278</v>
      </c>
      <c r="L37" s="1378"/>
      <c r="M37" s="536"/>
      <c r="N37" s="1379">
        <f>((1+N58)^N43)*($R7-N43)/N43</f>
        <v>0.16447669316933372</v>
      </c>
      <c r="O37" s="1378"/>
      <c r="Q37" s="1403" t="s">
        <v>936</v>
      </c>
      <c r="R37" s="542"/>
      <c r="S37" s="542"/>
      <c r="T37" s="542"/>
      <c r="U37" s="542"/>
      <c r="V37" s="542"/>
    </row>
    <row r="38" spans="2:22" ht="3.75" customHeight="1">
      <c r="B38" s="735"/>
      <c r="G38" s="1392"/>
      <c r="H38" s="1330"/>
      <c r="I38" s="1331"/>
      <c r="K38" s="1330"/>
      <c r="L38" s="1331"/>
      <c r="M38" s="536"/>
      <c r="N38" s="1330"/>
      <c r="O38" s="1331"/>
      <c r="Q38" s="1401"/>
      <c r="R38" s="542"/>
      <c r="S38" s="542"/>
      <c r="T38" s="542"/>
      <c r="U38" s="542"/>
      <c r="V38" s="542"/>
    </row>
    <row r="39" spans="2:22" s="6" customFormat="1" ht="14.25" customHeight="1" thickBot="1">
      <c r="B39" s="1363"/>
      <c r="C39" s="1364" t="s">
        <v>894</v>
      </c>
      <c r="D39" s="1365"/>
      <c r="E39" s="1365"/>
      <c r="F39" s="1365"/>
      <c r="G39" s="1394"/>
      <c r="H39" s="1410">
        <f ca="1">H22+H28+H35</f>
        <v>17612695.355050437</v>
      </c>
      <c r="I39" s="1411"/>
      <c r="J39" s="1"/>
      <c r="K39" s="1410">
        <f ca="1">K22+K28+K35</f>
        <v>26251001.213634614</v>
      </c>
      <c r="L39" s="1412"/>
      <c r="M39" s="536"/>
      <c r="N39" s="1410">
        <f ca="1">N22+N28+N35</f>
        <v>21750326.401250198</v>
      </c>
      <c r="O39" s="1412"/>
      <c r="Q39" s="1404"/>
      <c r="R39" s="1400"/>
      <c r="S39" s="1400"/>
      <c r="T39" s="1400"/>
      <c r="U39" s="1400"/>
      <c r="V39" s="1400"/>
    </row>
    <row r="40" spans="2:22" ht="6.75" customHeight="1">
      <c r="F40" s="532"/>
      <c r="G40" s="6"/>
      <c r="H40" s="1334"/>
      <c r="I40" s="1329"/>
      <c r="K40" s="1334"/>
      <c r="L40" s="1329"/>
      <c r="M40" s="536"/>
      <c r="N40" s="1334"/>
      <c r="O40" s="1329"/>
      <c r="Q40" s="542"/>
      <c r="R40" s="542"/>
      <c r="S40" s="542"/>
      <c r="T40" s="542"/>
      <c r="U40" s="542"/>
      <c r="V40" s="542"/>
    </row>
    <row r="41" spans="2:22">
      <c r="B41" s="1356" t="s">
        <v>917</v>
      </c>
      <c r="C41" s="1025"/>
      <c r="D41" s="1025"/>
      <c r="E41" s="1025"/>
      <c r="F41" s="1357"/>
      <c r="G41" s="910"/>
      <c r="H41" s="1358"/>
      <c r="I41" s="1359"/>
      <c r="K41" s="1358"/>
      <c r="L41" s="1359"/>
      <c r="M41" s="536"/>
      <c r="N41" s="1358"/>
      <c r="O41" s="1359"/>
      <c r="Q41" s="542"/>
      <c r="R41" s="542"/>
      <c r="S41" s="542"/>
      <c r="T41" s="542"/>
      <c r="U41" s="542"/>
      <c r="V41" s="542"/>
    </row>
    <row r="42" spans="2:22">
      <c r="C42" t="s">
        <v>956</v>
      </c>
      <c r="G42" s="6"/>
      <c r="H42" s="1335">
        <v>0.7</v>
      </c>
      <c r="I42" s="1336"/>
      <c r="K42" s="1335">
        <f>H42</f>
        <v>0.7</v>
      </c>
      <c r="L42" s="1336"/>
      <c r="M42" s="536"/>
      <c r="N42" s="1335">
        <f>K42</f>
        <v>0.7</v>
      </c>
      <c r="O42" s="1336"/>
      <c r="Q42" s="542"/>
      <c r="R42" s="542"/>
      <c r="S42" s="542"/>
      <c r="T42" s="542"/>
      <c r="U42" s="542"/>
      <c r="V42" s="542"/>
    </row>
    <row r="43" spans="2:22">
      <c r="C43" t="s">
        <v>898</v>
      </c>
      <c r="G43" s="6"/>
      <c r="H43" s="1387">
        <v>6</v>
      </c>
      <c r="I43" s="1386" t="s">
        <v>9</v>
      </c>
      <c r="K43" s="1387">
        <v>15</v>
      </c>
      <c r="L43" s="1386" t="s">
        <v>9</v>
      </c>
      <c r="M43" s="536"/>
      <c r="N43" s="1387">
        <v>15</v>
      </c>
      <c r="O43" s="1386" t="s">
        <v>9</v>
      </c>
      <c r="Q43" s="542"/>
      <c r="R43" s="542"/>
      <c r="S43" s="542"/>
      <c r="T43" s="542"/>
      <c r="U43" s="542"/>
      <c r="V43" s="542"/>
    </row>
    <row r="44" spans="2:22">
      <c r="C44" t="s">
        <v>957</v>
      </c>
      <c r="F44" s="532"/>
      <c r="G44" s="6"/>
      <c r="H44" s="1388">
        <f>H43*DC_cyclesPyear</f>
        <v>144</v>
      </c>
      <c r="I44" s="1327"/>
      <c r="K44" s="1388">
        <f>K43*DC_cyclesPyear</f>
        <v>360</v>
      </c>
      <c r="L44" s="1327"/>
      <c r="M44" s="536"/>
      <c r="N44" s="1388">
        <f>N43*DC_cyclesPyear</f>
        <v>360</v>
      </c>
      <c r="O44" s="1327"/>
      <c r="Q44" s="542"/>
      <c r="R44" s="542"/>
      <c r="S44" s="542"/>
      <c r="T44" s="542"/>
      <c r="U44" s="542"/>
      <c r="V44" s="542"/>
    </row>
    <row r="45" spans="2:22" s="498" customFormat="1">
      <c r="C45" s="498" t="s">
        <v>958</v>
      </c>
      <c r="G45" s="6"/>
      <c r="H45" s="1382">
        <v>8</v>
      </c>
      <c r="I45" s="1383" t="s">
        <v>161</v>
      </c>
      <c r="J45" s="1"/>
      <c r="K45" s="1382">
        <v>10</v>
      </c>
      <c r="L45" s="1383" t="s">
        <v>161</v>
      </c>
      <c r="M45" s="536"/>
      <c r="N45" s="1382">
        <v>3</v>
      </c>
      <c r="O45" s="1383" t="s">
        <v>161</v>
      </c>
      <c r="Q45" s="542" t="s">
        <v>938</v>
      </c>
      <c r="R45" s="542"/>
      <c r="S45" s="542"/>
      <c r="T45" s="542"/>
      <c r="U45" s="542"/>
      <c r="V45" s="542"/>
    </row>
    <row r="46" spans="2:22">
      <c r="C46" t="s">
        <v>912</v>
      </c>
      <c r="F46" s="532"/>
      <c r="G46" s="6"/>
      <c r="H46" s="1384">
        <v>1</v>
      </c>
      <c r="I46" s="1385"/>
      <c r="K46" s="1384">
        <v>0.75</v>
      </c>
      <c r="L46" s="1385"/>
      <c r="M46" s="536"/>
      <c r="N46" s="1384">
        <v>0.9</v>
      </c>
      <c r="O46" s="1385"/>
      <c r="Q46" s="542" t="s">
        <v>942</v>
      </c>
      <c r="R46" s="542"/>
      <c r="S46" s="542"/>
      <c r="T46" s="542"/>
      <c r="U46" s="542"/>
      <c r="V46" s="542"/>
    </row>
    <row r="47" spans="2:22" s="119" customFormat="1">
      <c r="C47" s="119" t="s">
        <v>903</v>
      </c>
      <c r="F47" s="1314" t="s">
        <v>904</v>
      </c>
      <c r="G47" s="6"/>
      <c r="H47" s="1338">
        <f>H48*(1-H49)*(1-H50)*(1-H51)</f>
        <v>0.48639359999999998</v>
      </c>
      <c r="I47" s="1336"/>
      <c r="J47" s="1"/>
      <c r="K47" s="1338">
        <f>K48*(1-K49)*(1-K50)*(1-K51)</f>
        <v>0.7516991999999999</v>
      </c>
      <c r="L47" s="1336"/>
      <c r="M47" s="536"/>
      <c r="N47" s="1338">
        <f>N48*(1-N49)*(1-N50)*(1-N51)</f>
        <v>0.77226639999999991</v>
      </c>
      <c r="O47" s="1336"/>
    </row>
    <row r="48" spans="2:22" ht="12.75" hidden="1" customHeight="1" outlineLevel="1">
      <c r="F48" s="1315" t="s">
        <v>905</v>
      </c>
      <c r="G48" s="6"/>
      <c r="H48" s="1339">
        <v>0.55000000000000004</v>
      </c>
      <c r="I48" s="1340"/>
      <c r="K48" s="1339">
        <v>0.85</v>
      </c>
      <c r="L48" s="1340"/>
      <c r="M48" s="536"/>
      <c r="N48" s="1339">
        <v>0.94</v>
      </c>
      <c r="O48" s="1340"/>
      <c r="Q48" s="542"/>
      <c r="R48" s="542"/>
      <c r="S48" s="542"/>
      <c r="T48" s="542"/>
      <c r="U48" s="542"/>
      <c r="V48" s="542"/>
    </row>
    <row r="49" spans="2:23" ht="12.75" hidden="1" customHeight="1" outlineLevel="1">
      <c r="F49" s="1315" t="s">
        <v>908</v>
      </c>
      <c r="G49" s="6"/>
      <c r="H49" s="1341">
        <v>0.04</v>
      </c>
      <c r="I49" s="1342"/>
      <c r="K49" s="1341">
        <v>0.04</v>
      </c>
      <c r="L49" s="1342"/>
      <c r="M49" s="536"/>
      <c r="N49" s="1341">
        <v>0.05</v>
      </c>
      <c r="O49" s="1342"/>
      <c r="Q49" s="542"/>
      <c r="R49" s="542"/>
      <c r="S49" s="542"/>
      <c r="T49" s="542"/>
      <c r="U49" s="542"/>
      <c r="V49" s="542"/>
    </row>
    <row r="50" spans="2:23" ht="12.75" hidden="1" customHeight="1" outlineLevel="1">
      <c r="F50" s="1315" t="s">
        <v>906</v>
      </c>
      <c r="G50" s="6"/>
      <c r="H50" s="1341">
        <v>0.06</v>
      </c>
      <c r="I50" s="1342"/>
      <c r="K50" s="1341">
        <f>H50</f>
        <v>0.06</v>
      </c>
      <c r="L50" s="1342"/>
      <c r="M50" s="536"/>
      <c r="N50" s="1341">
        <f>K50</f>
        <v>0.06</v>
      </c>
      <c r="O50" s="1342"/>
      <c r="Q50" s="542"/>
      <c r="R50" s="542"/>
      <c r="S50" s="542"/>
      <c r="T50" s="542"/>
      <c r="U50" s="542"/>
      <c r="V50" s="542"/>
    </row>
    <row r="51" spans="2:23" ht="12.75" hidden="1" customHeight="1" outlineLevel="1">
      <c r="F51" s="1315" t="s">
        <v>907</v>
      </c>
      <c r="G51" s="6"/>
      <c r="H51" s="1341">
        <v>0.02</v>
      </c>
      <c r="I51" s="1342"/>
      <c r="K51" s="1341">
        <v>0.02</v>
      </c>
      <c r="L51" s="1342"/>
      <c r="M51" s="536"/>
      <c r="N51" s="1341">
        <v>0.08</v>
      </c>
      <c r="O51" s="1342"/>
      <c r="Q51" s="542"/>
      <c r="R51" s="542"/>
      <c r="S51" s="542"/>
      <c r="T51" s="542"/>
      <c r="U51" s="542"/>
      <c r="V51" s="542"/>
    </row>
    <row r="52" spans="2:23" collapsed="1">
      <c r="C52" t="s">
        <v>964</v>
      </c>
      <c r="G52" s="6"/>
      <c r="H52" s="1409">
        <f ca="1">DC_required_kWh*(1/H47-1)*DC_elec_USDperkWh*1000</f>
        <v>4561.6958117869972</v>
      </c>
      <c r="I52" s="1327"/>
      <c r="K52" s="1409">
        <f ca="1">DC_required_kWh*(1/K47-1)*DC_elec_USDperkWh*1000</f>
        <v>1426.9796429209985</v>
      </c>
      <c r="L52" s="1327"/>
      <c r="M52" s="536"/>
      <c r="N52" s="1409">
        <f ca="1">DC_required_kWh*(1/N47-1)*DC_elec_USDperkWh*1000</f>
        <v>1273.9245835374952</v>
      </c>
      <c r="O52" s="1327"/>
      <c r="P52" s="1"/>
      <c r="Q52" s="542"/>
      <c r="R52" s="542"/>
      <c r="S52" s="542"/>
      <c r="T52" s="542"/>
      <c r="U52" s="542"/>
      <c r="V52" s="542"/>
    </row>
    <row r="53" spans="2:23" ht="12.75" hidden="1" customHeight="1" outlineLevel="1">
      <c r="F53" s="532"/>
      <c r="G53" s="6"/>
      <c r="H53" s="1334"/>
      <c r="I53" s="1329"/>
      <c r="K53" s="1334"/>
      <c r="L53" s="1329"/>
      <c r="M53" s="536"/>
      <c r="N53" s="1334"/>
      <c r="O53" s="1329"/>
      <c r="Q53" s="542"/>
      <c r="R53" s="542"/>
      <c r="S53" s="542"/>
      <c r="T53" s="542"/>
      <c r="U53" s="542"/>
      <c r="V53" s="542"/>
    </row>
    <row r="54" spans="2:23" ht="12.75" hidden="1" customHeight="1" outlineLevel="1">
      <c r="F54" s="532"/>
      <c r="G54" s="6"/>
      <c r="H54" s="1334"/>
      <c r="I54" s="1329"/>
      <c r="K54" s="1334"/>
      <c r="L54" s="1329"/>
      <c r="M54" s="536"/>
      <c r="N54" s="1334"/>
      <c r="O54" s="1329"/>
      <c r="Q54" s="542"/>
      <c r="R54" s="542"/>
      <c r="S54" s="542"/>
      <c r="T54" s="542"/>
      <c r="U54" s="542"/>
      <c r="V54" s="542"/>
    </row>
    <row r="55" spans="2:23" ht="12.75" hidden="1" customHeight="1" outlineLevel="1">
      <c r="F55" s="532"/>
      <c r="G55" s="6"/>
      <c r="H55" s="1334"/>
      <c r="I55" s="1329"/>
      <c r="K55" s="1334"/>
      <c r="L55" s="1329"/>
      <c r="M55" s="536"/>
      <c r="N55" s="1334"/>
      <c r="O55" s="1329"/>
      <c r="Q55" s="542"/>
      <c r="R55" s="542"/>
      <c r="S55" s="542"/>
      <c r="T55" s="542"/>
      <c r="U55" s="542"/>
      <c r="V55" s="542"/>
    </row>
    <row r="56" spans="2:23" ht="6.75" customHeight="1" collapsed="1">
      <c r="F56" s="532"/>
      <c r="G56" s="6"/>
      <c r="H56" s="1334"/>
      <c r="I56" s="1329"/>
      <c r="K56" s="1334"/>
      <c r="L56" s="1329"/>
      <c r="M56" s="536"/>
      <c r="N56" s="1334"/>
      <c r="O56" s="1329"/>
      <c r="Q56" s="542"/>
      <c r="R56" s="542"/>
      <c r="S56" s="542"/>
      <c r="T56" s="542"/>
      <c r="U56" s="542"/>
      <c r="V56" s="542"/>
    </row>
    <row r="57" spans="2:23" s="119" customFormat="1" ht="15">
      <c r="B57" s="1356" t="s">
        <v>974</v>
      </c>
      <c r="C57" s="1054"/>
      <c r="D57" s="1054"/>
      <c r="E57" s="1054"/>
      <c r="F57" s="1355" t="s">
        <v>969</v>
      </c>
      <c r="G57" s="910"/>
      <c r="H57" s="1441">
        <f ca="1">OFFSET('Cells Cost'!F23,opt_year-2022,0)</f>
        <v>19.765351666666668</v>
      </c>
      <c r="I57" s="1442"/>
      <c r="J57" s="1"/>
      <c r="K57" s="1441">
        <f ca="1">OFFSET('Cells Cost'!T23,opt_year-2022,0)</f>
        <v>73.819575554233595</v>
      </c>
      <c r="L57" s="1442"/>
      <c r="M57" s="536"/>
      <c r="N57" s="1441">
        <f ca="1">OFFSET('Cells Cost'!B23,opt_year-2022,0)</f>
        <v>79.109986078394087</v>
      </c>
      <c r="O57" s="1442"/>
      <c r="P57"/>
      <c r="Q57" s="542"/>
    </row>
    <row r="58" spans="2:23" s="561" customFormat="1">
      <c r="F58" s="1311" t="s">
        <v>900</v>
      </c>
      <c r="G58" s="6"/>
      <c r="H58" s="1343">
        <f>'Cells Cost'!G29</f>
        <v>-0.05</v>
      </c>
      <c r="I58" s="1344"/>
      <c r="J58" s="1"/>
      <c r="K58" s="1343">
        <f>'Cells Cost'!V29</f>
        <v>-0.01</v>
      </c>
      <c r="L58" s="1344"/>
      <c r="M58" s="536"/>
      <c r="N58" s="1343">
        <f>'Cells Cost'!D29</f>
        <v>-4.5999999999999999E-2</v>
      </c>
      <c r="O58" s="1344"/>
      <c r="P58"/>
      <c r="Q58" s="1209">
        <v>10</v>
      </c>
      <c r="R58" s="1443" t="s">
        <v>977</v>
      </c>
      <c r="S58" s="1443"/>
      <c r="T58" s="1443"/>
      <c r="U58" s="1443"/>
      <c r="V58" s="1443"/>
      <c r="W58" s="1443"/>
    </row>
    <row r="59" spans="2:23" ht="15">
      <c r="B59" s="119"/>
      <c r="C59" t="s">
        <v>920</v>
      </c>
      <c r="G59" s="6"/>
      <c r="H59" s="1334">
        <f>Packs!E24</f>
        <v>1.7</v>
      </c>
      <c r="I59" s="1350" t="s">
        <v>953</v>
      </c>
      <c r="K59" s="1334">
        <v>2</v>
      </c>
      <c r="L59" s="1350" t="s">
        <v>953</v>
      </c>
      <c r="M59" s="536"/>
      <c r="N59" s="1334">
        <v>2</v>
      </c>
      <c r="O59" s="1350" t="s">
        <v>953</v>
      </c>
      <c r="Q59" s="542"/>
      <c r="R59" s="1443"/>
      <c r="S59" s="1443"/>
      <c r="T59" s="1443"/>
      <c r="U59" s="1443"/>
      <c r="V59" s="1443"/>
      <c r="W59" s="1443"/>
    </row>
    <row r="60" spans="2:23">
      <c r="C60" t="s">
        <v>18</v>
      </c>
      <c r="F60" s="1312" t="s">
        <v>923</v>
      </c>
      <c r="G60" s="6"/>
      <c r="H60" s="1326">
        <v>150</v>
      </c>
      <c r="I60" s="1350" t="s">
        <v>132</v>
      </c>
      <c r="K60" s="1326">
        <v>40</v>
      </c>
      <c r="L60" s="1350" t="s">
        <v>132</v>
      </c>
      <c r="M60" s="536"/>
      <c r="N60" s="1326">
        <v>150</v>
      </c>
      <c r="O60" s="1350" t="s">
        <v>132</v>
      </c>
      <c r="Q60" s="542"/>
      <c r="R60" s="542"/>
      <c r="S60" s="542"/>
      <c r="T60" s="542"/>
      <c r="U60" s="542"/>
      <c r="V60" s="542"/>
    </row>
    <row r="61" spans="2:23" ht="15">
      <c r="F61" s="1312" t="s">
        <v>919</v>
      </c>
      <c r="G61" s="6"/>
      <c r="H61" s="1330">
        <f>H60*H59</f>
        <v>255</v>
      </c>
      <c r="I61" s="1350" t="s">
        <v>952</v>
      </c>
      <c r="K61" s="1330">
        <f t="shared" ref="K61" si="9">K60*K59</f>
        <v>80</v>
      </c>
      <c r="L61" s="1350" t="s">
        <v>952</v>
      </c>
      <c r="M61" s="536"/>
      <c r="N61" s="1330">
        <f t="shared" ref="N61" si="10">N60*N59</f>
        <v>300</v>
      </c>
      <c r="O61" s="1350" t="s">
        <v>952</v>
      </c>
      <c r="Q61" s="542"/>
      <c r="R61" s="542"/>
      <c r="S61" s="542"/>
      <c r="T61" s="542"/>
      <c r="U61" s="542"/>
      <c r="V61" s="542"/>
    </row>
    <row r="62" spans="2:23" ht="12.75" hidden="1" customHeight="1" outlineLevel="1">
      <c r="F62" s="532"/>
      <c r="G62" s="6"/>
      <c r="H62" s="1334"/>
      <c r="I62" s="1329"/>
      <c r="K62" s="1334"/>
      <c r="L62" s="1329"/>
      <c r="M62" s="536"/>
      <c r="N62" s="1334"/>
      <c r="O62" s="1329"/>
      <c r="Q62" s="542"/>
      <c r="R62" s="542"/>
      <c r="S62" s="542"/>
      <c r="T62" s="542"/>
      <c r="U62" s="542"/>
      <c r="V62" s="542"/>
    </row>
    <row r="63" spans="2:23" ht="12.75" hidden="1" customHeight="1" outlineLevel="1">
      <c r="G63" s="6"/>
      <c r="H63" s="1326"/>
      <c r="I63" s="1327"/>
      <c r="K63" s="1326"/>
      <c r="L63" s="1327"/>
      <c r="M63" s="536"/>
      <c r="N63" s="1326"/>
      <c r="O63" s="1327"/>
      <c r="Q63" s="542"/>
      <c r="R63" s="542"/>
      <c r="S63" s="542"/>
      <c r="T63" s="542"/>
      <c r="U63" s="542"/>
      <c r="V63" s="542"/>
    </row>
    <row r="64" spans="2:23" ht="12.75" hidden="1" customHeight="1" outlineLevel="1">
      <c r="G64" s="6"/>
      <c r="H64" s="1326"/>
      <c r="I64" s="1327"/>
      <c r="K64" s="1326"/>
      <c r="L64" s="1327"/>
      <c r="M64" s="536"/>
      <c r="N64" s="1326"/>
      <c r="O64" s="1327"/>
      <c r="Q64" s="542"/>
      <c r="R64" s="542"/>
      <c r="S64" s="542"/>
      <c r="T64" s="542"/>
      <c r="U64" s="542"/>
      <c r="V64" s="542"/>
    </row>
    <row r="65" spans="2:22" ht="12.75" hidden="1" customHeight="1" outlineLevel="1">
      <c r="G65" s="6"/>
      <c r="H65" s="1326"/>
      <c r="I65" s="1327"/>
      <c r="K65" s="1326"/>
      <c r="L65" s="1327"/>
      <c r="M65" s="536"/>
      <c r="N65" s="1326"/>
      <c r="O65" s="1327"/>
      <c r="Q65" s="542"/>
      <c r="R65" s="542"/>
      <c r="S65" s="542"/>
      <c r="T65" s="542"/>
      <c r="U65" s="542"/>
      <c r="V65" s="542"/>
    </row>
    <row r="66" spans="2:22" ht="6.75" customHeight="1" collapsed="1">
      <c r="G66" s="6"/>
      <c r="H66" s="1326"/>
      <c r="I66" s="1327"/>
      <c r="K66" s="1326"/>
      <c r="L66" s="1327"/>
      <c r="M66" s="536"/>
      <c r="N66" s="1326"/>
      <c r="O66" s="1327"/>
      <c r="Q66" s="542"/>
      <c r="R66" s="542"/>
      <c r="S66" s="542"/>
      <c r="T66" s="542"/>
      <c r="U66" s="542"/>
      <c r="V66" s="542"/>
    </row>
    <row r="67" spans="2:22" s="119" customFormat="1" ht="15">
      <c r="B67" s="1356" t="s">
        <v>975</v>
      </c>
      <c r="C67" s="1054"/>
      <c r="D67" s="1054"/>
      <c r="E67" s="1054"/>
      <c r="F67" s="1355" t="s">
        <v>969</v>
      </c>
      <c r="G67" s="910"/>
      <c r="H67" s="1441">
        <f ca="1">Packs!E54</f>
        <v>36.837740185304888</v>
      </c>
      <c r="I67" s="1442"/>
      <c r="J67" s="1"/>
      <c r="K67" s="1441">
        <f ca="1">OFFSET('Cells Cost'!U23,opt_year-2022,0)</f>
        <v>77.510554331945272</v>
      </c>
      <c r="L67" s="1442"/>
      <c r="M67" s="536"/>
      <c r="N67" s="1441">
        <f ca="1">OFFSET('Cells Cost'!C23,opt_year-2022,0)</f>
        <v>90.976483990153199</v>
      </c>
      <c r="O67" s="1442"/>
      <c r="P67"/>
      <c r="Q67" s="542"/>
    </row>
    <row r="68" spans="2:22">
      <c r="F68" s="1311" t="s">
        <v>924</v>
      </c>
      <c r="G68" s="6"/>
      <c r="H68" s="1333">
        <f ca="1">H67/H57-1</f>
        <v>0.86375334001418236</v>
      </c>
      <c r="I68" s="1352"/>
      <c r="K68" s="1333">
        <f ca="1">K67/K57-1</f>
        <v>5.0000000000000044E-2</v>
      </c>
      <c r="L68" s="1352"/>
      <c r="M68" s="536"/>
      <c r="N68" s="1333">
        <f ca="1">N67/N57-1</f>
        <v>0.14999999999999991</v>
      </c>
      <c r="O68" s="1352"/>
      <c r="Q68" s="542" t="s">
        <v>939</v>
      </c>
      <c r="R68" s="542"/>
      <c r="S68" s="542"/>
      <c r="T68" s="542"/>
      <c r="U68" s="542"/>
      <c r="V68" s="542"/>
    </row>
    <row r="69" spans="2:22" s="561" customFormat="1">
      <c r="F69" s="1311" t="s">
        <v>900</v>
      </c>
      <c r="G69" s="6"/>
      <c r="H69" s="1345">
        <f>H58*$O69</f>
        <v>-4.0000000000000008E-2</v>
      </c>
      <c r="I69" s="1353">
        <v>0.8</v>
      </c>
      <c r="J69" s="1"/>
      <c r="K69" s="1345">
        <f>K58*$O69</f>
        <v>-8.0000000000000002E-3</v>
      </c>
      <c r="L69" s="1353">
        <v>0.8</v>
      </c>
      <c r="M69" s="536"/>
      <c r="N69" s="1345">
        <f>N58*$O69</f>
        <v>-3.6799999999999999E-2</v>
      </c>
      <c r="O69" s="1353">
        <v>0.8</v>
      </c>
      <c r="Q69" s="542" t="s">
        <v>940</v>
      </c>
      <c r="R69" s="542"/>
      <c r="S69" s="542"/>
      <c r="T69" s="542"/>
      <c r="U69" s="542"/>
      <c r="V69" s="542"/>
    </row>
    <row r="70" spans="2:22" ht="15">
      <c r="B70" s="119"/>
      <c r="C70" t="s">
        <v>925</v>
      </c>
      <c r="G70" s="6"/>
      <c r="H70" s="1346">
        <f ca="1">Packs!E42</f>
        <v>1.2375</v>
      </c>
      <c r="I70" s="1350" t="s">
        <v>953</v>
      </c>
      <c r="K70" s="1346">
        <f>80%*K59</f>
        <v>1.6</v>
      </c>
      <c r="L70" s="1350" t="s">
        <v>953</v>
      </c>
      <c r="M70" s="536"/>
      <c r="N70" s="1346">
        <f>80%*N59</f>
        <v>1.6</v>
      </c>
      <c r="O70" s="1350" t="s">
        <v>953</v>
      </c>
      <c r="Q70" s="1401"/>
      <c r="R70" s="542"/>
      <c r="S70" s="542"/>
      <c r="T70" s="542"/>
      <c r="U70" s="542"/>
      <c r="V70" s="542"/>
    </row>
    <row r="71" spans="2:22">
      <c r="B71" s="119"/>
      <c r="C71" t="s">
        <v>18</v>
      </c>
      <c r="F71" s="1312" t="s">
        <v>923</v>
      </c>
      <c r="G71" s="6"/>
      <c r="H71" s="1330">
        <f ca="1">Packs!E43</f>
        <v>59.090909090909079</v>
      </c>
      <c r="I71" s="1350" t="s">
        <v>132</v>
      </c>
      <c r="K71" s="1330">
        <f>85%*K60</f>
        <v>34</v>
      </c>
      <c r="L71" s="1350" t="s">
        <v>132</v>
      </c>
      <c r="M71" s="536"/>
      <c r="N71" s="1330">
        <f>'Container system'!V40</f>
        <v>130</v>
      </c>
      <c r="O71" s="1350" t="s">
        <v>132</v>
      </c>
      <c r="Q71" s="542"/>
      <c r="R71" s="542"/>
      <c r="S71" s="542"/>
      <c r="T71" s="542"/>
      <c r="U71" s="542"/>
      <c r="V71" s="542"/>
    </row>
    <row r="72" spans="2:22" ht="15">
      <c r="F72" s="1312" t="s">
        <v>919</v>
      </c>
      <c r="G72" s="6"/>
      <c r="H72" s="1330">
        <f ca="1">Packs!E44</f>
        <v>73.125</v>
      </c>
      <c r="I72" s="1350" t="s">
        <v>952</v>
      </c>
      <c r="K72" s="1330"/>
      <c r="L72" s="1350" t="s">
        <v>952</v>
      </c>
      <c r="M72" s="536"/>
      <c r="N72" s="1330"/>
      <c r="O72" s="1350" t="s">
        <v>952</v>
      </c>
      <c r="Q72" s="542"/>
      <c r="R72" s="542"/>
      <c r="S72" s="542"/>
      <c r="T72" s="542"/>
      <c r="U72" s="542"/>
      <c r="V72" s="542"/>
    </row>
    <row r="73" spans="2:22" ht="12.75" hidden="1" customHeight="1" outlineLevel="1">
      <c r="F73" s="1311"/>
      <c r="G73" s="6"/>
      <c r="H73" s="1326"/>
      <c r="I73" s="1350"/>
      <c r="K73" s="1326"/>
      <c r="L73" s="1350"/>
      <c r="M73" s="536"/>
      <c r="N73" s="1326"/>
      <c r="O73" s="1350"/>
      <c r="Q73" s="542"/>
      <c r="R73" s="542"/>
      <c r="S73" s="542"/>
      <c r="T73" s="542"/>
      <c r="U73" s="542"/>
      <c r="V73" s="542"/>
    </row>
    <row r="74" spans="2:22" ht="12.75" hidden="1" customHeight="1" outlineLevel="1">
      <c r="G74" s="6"/>
      <c r="H74" s="1326"/>
      <c r="I74" s="1350"/>
      <c r="K74" s="1326"/>
      <c r="L74" s="1350"/>
      <c r="M74" s="536"/>
      <c r="N74" s="1326"/>
      <c r="O74" s="1350"/>
      <c r="Q74" s="542"/>
      <c r="R74" s="542"/>
      <c r="S74" s="542"/>
      <c r="T74" s="542"/>
      <c r="U74" s="542"/>
      <c r="V74" s="542"/>
    </row>
    <row r="75" spans="2:22" ht="12.75" hidden="1" customHeight="1" outlineLevel="1">
      <c r="G75" s="6"/>
      <c r="H75" s="1326"/>
      <c r="I75" s="1350"/>
      <c r="K75" s="1326"/>
      <c r="L75" s="1350"/>
      <c r="M75" s="536"/>
      <c r="N75" s="1326"/>
      <c r="O75" s="1350"/>
      <c r="Q75" s="542"/>
      <c r="R75" s="542"/>
      <c r="S75" s="542"/>
      <c r="T75" s="542"/>
      <c r="U75" s="542"/>
      <c r="V75" s="542"/>
    </row>
    <row r="76" spans="2:22" ht="6.75" customHeight="1" collapsed="1">
      <c r="F76" s="532"/>
      <c r="G76" s="6"/>
      <c r="H76" s="1334"/>
      <c r="I76" s="1352"/>
      <c r="K76" s="1334"/>
      <c r="L76" s="1352"/>
      <c r="M76" s="536"/>
      <c r="N76" s="1334"/>
      <c r="O76" s="1352"/>
      <c r="Q76" s="542"/>
      <c r="R76" s="542"/>
      <c r="S76" s="542"/>
      <c r="T76" s="542"/>
      <c r="U76" s="542"/>
      <c r="V76" s="542"/>
    </row>
    <row r="77" spans="2:22" s="119" customFormat="1" ht="15">
      <c r="B77" s="1356" t="s">
        <v>916</v>
      </c>
      <c r="C77" s="1054"/>
      <c r="D77" s="1054"/>
      <c r="E77" s="1054"/>
      <c r="F77" s="1355" t="s">
        <v>969</v>
      </c>
      <c r="G77" s="910"/>
      <c r="H77" s="1441">
        <f ca="1">'Container system'!P59</f>
        <v>59.819139890208618</v>
      </c>
      <c r="I77" s="1442"/>
      <c r="J77" s="1"/>
      <c r="K77" s="1441">
        <f ca="1">'Container system'!AB59</f>
        <v>107.64992493630976</v>
      </c>
      <c r="L77" s="1442"/>
      <c r="M77" s="536"/>
      <c r="N77" s="1441">
        <f ca="1">'Container system'!V59</f>
        <v>107.47070240827219</v>
      </c>
      <c r="O77" s="1442"/>
    </row>
    <row r="78" spans="2:22">
      <c r="C78" t="s">
        <v>918</v>
      </c>
      <c r="F78" s="532"/>
      <c r="G78" s="6"/>
      <c r="H78" s="1334">
        <f ca="1">'Container system'!P36</f>
        <v>14.9288832</v>
      </c>
      <c r="I78" s="1350" t="s">
        <v>206</v>
      </c>
      <c r="K78" s="1334">
        <f ca="1">H78</f>
        <v>14.9288832</v>
      </c>
      <c r="L78" s="1350" t="s">
        <v>206</v>
      </c>
      <c r="M78" s="536"/>
      <c r="N78" s="1334">
        <f ca="1">'Container system'!V36</f>
        <v>14.9288832</v>
      </c>
      <c r="O78" s="1350" t="s">
        <v>206</v>
      </c>
      <c r="Q78" s="542"/>
      <c r="R78" s="542"/>
      <c r="S78" s="542"/>
      <c r="T78" s="542"/>
      <c r="U78" s="542"/>
      <c r="V78" s="542"/>
    </row>
    <row r="79" spans="2:22" ht="15">
      <c r="C79" s="13" t="s">
        <v>895</v>
      </c>
      <c r="G79" s="6"/>
      <c r="H79" s="1334">
        <f>'Container system'!P13</f>
        <v>14.883999999999999</v>
      </c>
      <c r="I79" s="1350" t="s">
        <v>954</v>
      </c>
      <c r="K79" s="1334">
        <f>H79</f>
        <v>14.883999999999999</v>
      </c>
      <c r="L79" s="1350" t="s">
        <v>954</v>
      </c>
      <c r="M79" s="536"/>
      <c r="N79" s="1334">
        <f>H79</f>
        <v>14.883999999999999</v>
      </c>
      <c r="O79" s="1350" t="s">
        <v>954</v>
      </c>
      <c r="Q79" s="542"/>
      <c r="R79" s="542"/>
      <c r="S79" s="542"/>
      <c r="T79" s="542"/>
      <c r="U79" s="542"/>
      <c r="V79" s="542"/>
    </row>
    <row r="80" spans="2:22">
      <c r="C80" s="13" t="s">
        <v>16</v>
      </c>
      <c r="G80" s="6"/>
      <c r="H80" s="1347">
        <f ca="1">'Container system'!P39</f>
        <v>801.96479999999997</v>
      </c>
      <c r="I80" s="1350" t="s">
        <v>266</v>
      </c>
      <c r="K80" s="1347">
        <f ca="1">K78*K71</f>
        <v>507.58202879999999</v>
      </c>
      <c r="L80" s="1350" t="s">
        <v>266</v>
      </c>
      <c r="M80" s="536"/>
      <c r="N80" s="1347">
        <f ca="1">'Container system'!V39</f>
        <v>1940.7548159999999</v>
      </c>
      <c r="O80" s="1350" t="s">
        <v>266</v>
      </c>
      <c r="Q80" s="542"/>
      <c r="R80" s="542"/>
      <c r="S80" s="542"/>
      <c r="T80" s="542"/>
      <c r="U80" s="542"/>
      <c r="V80" s="542"/>
    </row>
    <row r="81" spans="2:22" ht="15">
      <c r="C81" t="s">
        <v>18</v>
      </c>
      <c r="F81" s="1312" t="s">
        <v>923</v>
      </c>
      <c r="G81" s="6"/>
      <c r="H81" s="1330">
        <f ca="1">'Container system'!P41</f>
        <v>20.074888126399046</v>
      </c>
      <c r="I81" s="1350" t="s">
        <v>952</v>
      </c>
      <c r="K81" s="1330">
        <f ca="1">'Container system'!AB41</f>
        <v>11.958456434679555</v>
      </c>
      <c r="L81" s="1350" t="s">
        <v>952</v>
      </c>
      <c r="M81" s="536"/>
      <c r="N81" s="1330">
        <f ca="1">'Container system'!V41</f>
        <v>48.581229265885689</v>
      </c>
      <c r="O81" s="1350" t="s">
        <v>952</v>
      </c>
      <c r="Q81" s="542"/>
      <c r="R81" s="542"/>
      <c r="S81" s="542"/>
      <c r="T81" s="542"/>
      <c r="U81" s="542"/>
      <c r="V81" s="542"/>
    </row>
    <row r="82" spans="2:22" ht="12.75" customHeight="1" outlineLevel="1">
      <c r="G82" s="6"/>
      <c r="H82" s="1326"/>
      <c r="I82" s="1327"/>
      <c r="K82" s="1326"/>
      <c r="L82" s="1327"/>
      <c r="M82" s="536"/>
      <c r="N82" s="1326"/>
      <c r="O82" s="1327"/>
    </row>
    <row r="83" spans="2:22" ht="12.75" customHeight="1" outlineLevel="1">
      <c r="G83" s="6"/>
      <c r="H83" s="1330"/>
      <c r="I83" s="1331"/>
      <c r="K83" s="1330"/>
      <c r="L83" s="1331"/>
      <c r="M83" s="536"/>
      <c r="N83" s="1330"/>
      <c r="O83" s="1331"/>
      <c r="R83" s="71"/>
    </row>
    <row r="84" spans="2:22" ht="12.75" customHeight="1" outlineLevel="1">
      <c r="F84" s="532"/>
      <c r="G84" s="6"/>
      <c r="H84" s="1335"/>
      <c r="I84" s="1336"/>
      <c r="K84" s="1335"/>
      <c r="L84" s="1336"/>
      <c r="M84" s="536"/>
      <c r="N84" s="1335"/>
      <c r="O84" s="1336"/>
      <c r="Q84" s="498"/>
    </row>
    <row r="85" spans="2:22" ht="6.75" customHeight="1">
      <c r="G85" s="6"/>
      <c r="H85" s="1348"/>
      <c r="I85" s="1349"/>
      <c r="K85" s="1348"/>
      <c r="L85" s="1349"/>
      <c r="M85" s="536"/>
      <c r="N85" s="1348"/>
      <c r="O85" s="1349"/>
    </row>
    <row r="86" spans="2:22" ht="6.75" customHeight="1">
      <c r="G86" s="6"/>
      <c r="M86" s="536"/>
    </row>
    <row r="87" spans="2:22" s="494" customFormat="1" ht="21" customHeight="1">
      <c r="C87" s="494" t="s">
        <v>917</v>
      </c>
      <c r="H87" s="495"/>
      <c r="I87" s="1415"/>
      <c r="J87" s="495"/>
      <c r="K87" s="495"/>
      <c r="L87" s="1415"/>
      <c r="M87" s="495"/>
      <c r="N87" s="495"/>
      <c r="O87" s="1415"/>
    </row>
    <row r="88" spans="2:22" s="119" customFormat="1" ht="15">
      <c r="B88" s="1356" t="s">
        <v>916</v>
      </c>
      <c r="C88" s="1054" t="s">
        <v>981</v>
      </c>
      <c r="D88" s="1054"/>
      <c r="E88" s="1054"/>
      <c r="F88" s="1355" t="s">
        <v>969</v>
      </c>
      <c r="G88" s="910"/>
      <c r="H88" s="1444">
        <f ca="1">H22/DC_required_kWh</f>
        <v>85455.914128869452</v>
      </c>
      <c r="I88" s="1445"/>
      <c r="J88" s="1"/>
      <c r="K88" s="1444">
        <f ca="1">K22/DC_required_kWh</f>
        <v>205047.47606916141</v>
      </c>
      <c r="L88" s="1445"/>
      <c r="M88" s="536"/>
      <c r="N88" s="1444">
        <f ca="1">N22/DC_required_kWh/1000</f>
        <v>170.58841652106693</v>
      </c>
      <c r="O88" s="1445"/>
    </row>
    <row r="89" spans="2:22" s="119" customFormat="1" ht="15">
      <c r="B89" s="1356" t="s">
        <v>916</v>
      </c>
      <c r="C89" s="1054" t="s">
        <v>464</v>
      </c>
      <c r="D89" s="1054"/>
      <c r="E89" s="1054"/>
      <c r="F89" s="1355" t="s">
        <v>983</v>
      </c>
      <c r="G89" s="910"/>
      <c r="H89" s="1416">
        <f ca="1">H28/DC_required_kWh/DC_project_years</f>
        <v>5793.3609770391386</v>
      </c>
      <c r="I89" s="1417">
        <f ca="1">H89/H88</f>
        <v>6.7793563922359065E-2</v>
      </c>
      <c r="J89" s="1"/>
      <c r="K89" s="1416">
        <f ca="1">K28/DC_required_kWh/DC_project_years</f>
        <v>6627.0841630485083</v>
      </c>
      <c r="L89" s="1417">
        <f ca="1">K89/K88</f>
        <v>3.2319754868932057E-2</v>
      </c>
      <c r="M89" s="536"/>
      <c r="N89" s="1416">
        <f ca="1">N28/DC_required_kWh/DC_project_years</f>
        <v>5542.2940234778398</v>
      </c>
      <c r="O89" s="1417">
        <f ca="1">N89/N88</f>
        <v>32.489275277336255</v>
      </c>
    </row>
    <row r="90" spans="2:22" s="119" customFormat="1" ht="15">
      <c r="B90" s="1356" t="s">
        <v>916</v>
      </c>
      <c r="C90" s="1054" t="s">
        <v>982</v>
      </c>
      <c r="D90" s="1054"/>
      <c r="E90" s="1054"/>
      <c r="F90" s="1355" t="s">
        <v>983</v>
      </c>
      <c r="G90" s="910"/>
      <c r="H90" s="1416">
        <f ca="1">H35/DC_required_kWh/DC_project_years</f>
        <v>2164.8817575246371</v>
      </c>
      <c r="I90" s="1417">
        <f ca="1">H90/H88</f>
        <v>2.533331694585756E-2</v>
      </c>
      <c r="J90" s="1"/>
      <c r="K90" s="1416">
        <f ca="1">K35/DC_required_kWh/DC_project_years</f>
        <v>1350.4039874063465</v>
      </c>
      <c r="L90" s="1417">
        <f ca="1">K90/K88</f>
        <v>6.5858113120634684E-3</v>
      </c>
      <c r="M90" s="536"/>
      <c r="N90" s="1416">
        <f ca="1">N35/DC_required_kWh/DC_project_years</f>
        <v>1032.6784846703401</v>
      </c>
      <c r="O90" s="1417">
        <f ca="1">N90/N88</f>
        <v>6.0536260651836749</v>
      </c>
    </row>
    <row r="91" spans="2:22">
      <c r="C91" t="s">
        <v>918</v>
      </c>
      <c r="F91" s="532"/>
      <c r="G91" s="6"/>
      <c r="H91" s="1334">
        <f ca="1">H19/DC_required_kWh</f>
        <v>26.593406593406595</v>
      </c>
      <c r="I91" s="1350" t="s">
        <v>980</v>
      </c>
      <c r="K91" s="1334">
        <f ca="1">K19/DC_required_kWh</f>
        <v>56.022408963585427</v>
      </c>
      <c r="L91" s="1350" t="s">
        <v>980</v>
      </c>
      <c r="M91" s="536"/>
      <c r="N91" s="1334">
        <f ca="1">N19/DC_required_kWh</f>
        <v>12.210012210012211</v>
      </c>
      <c r="O91" s="1350" t="s">
        <v>980</v>
      </c>
      <c r="Q91" s="542"/>
      <c r="R91" s="542"/>
      <c r="S91" s="542"/>
      <c r="T91" s="542"/>
      <c r="U91" s="542"/>
      <c r="V91" s="542"/>
    </row>
    <row r="92" spans="2:22" ht="15">
      <c r="C92" s="13" t="s">
        <v>895</v>
      </c>
      <c r="G92" s="6"/>
      <c r="H92" s="1334">
        <f ca="1">H20/DC_required_kWh</f>
        <v>26.513454384602841</v>
      </c>
      <c r="I92" s="1350" t="s">
        <v>979</v>
      </c>
      <c r="K92" s="1334">
        <f ca="1">K20/DC_required_kWh</f>
        <v>55.853979419840684</v>
      </c>
      <c r="L92" s="1350" t="s">
        <v>979</v>
      </c>
      <c r="M92" s="536"/>
      <c r="N92" s="1334">
        <f ca="1">N20/DC_required_kWh</f>
        <v>12.173303206888358</v>
      </c>
      <c r="O92" s="1350" t="s">
        <v>979</v>
      </c>
      <c r="Q92" s="542"/>
      <c r="R92" s="542"/>
      <c r="S92" s="542"/>
      <c r="T92" s="542"/>
      <c r="U92" s="542"/>
      <c r="V92" s="542"/>
    </row>
    <row r="93" spans="2:22" ht="15">
      <c r="C93" t="s">
        <v>18</v>
      </c>
      <c r="F93" s="1312" t="s">
        <v>923</v>
      </c>
      <c r="G93" s="6"/>
      <c r="H93" s="1330">
        <f ca="1">H81</f>
        <v>20.074888126399046</v>
      </c>
      <c r="I93" s="1350" t="s">
        <v>952</v>
      </c>
      <c r="K93" s="1330">
        <f ca="1">K81</f>
        <v>11.958456434679555</v>
      </c>
      <c r="L93" s="1350" t="s">
        <v>952</v>
      </c>
      <c r="M93" s="536"/>
      <c r="N93" s="1330">
        <f ca="1">N81</f>
        <v>48.581229265885689</v>
      </c>
      <c r="O93" s="1350" t="s">
        <v>952</v>
      </c>
      <c r="Q93" s="542"/>
      <c r="R93" s="542"/>
      <c r="S93" s="542"/>
      <c r="T93" s="542"/>
      <c r="U93" s="542"/>
      <c r="V93" s="542"/>
    </row>
    <row r="94" spans="2:22" ht="12.75" customHeight="1" outlineLevel="1">
      <c r="G94" s="6"/>
      <c r="H94" s="1326"/>
      <c r="I94" s="1327"/>
      <c r="K94" s="1326"/>
      <c r="L94" s="1327"/>
      <c r="M94" s="536"/>
      <c r="N94" s="1326"/>
      <c r="O94" s="1327"/>
    </row>
    <row r="95" spans="2:22" ht="12.75" customHeight="1" outlineLevel="1">
      <c r="G95" s="6"/>
      <c r="H95" s="1330"/>
      <c r="I95" s="1331"/>
      <c r="K95" s="1330"/>
      <c r="L95" s="1331"/>
      <c r="M95" s="536"/>
      <c r="N95" s="1330"/>
      <c r="O95" s="1331"/>
      <c r="R95" s="71"/>
    </row>
    <row r="96" spans="2:22" ht="12.75" customHeight="1" outlineLevel="1">
      <c r="F96" s="532"/>
      <c r="G96" s="6"/>
      <c r="H96" s="1335"/>
      <c r="I96" s="1336"/>
      <c r="K96" s="1335"/>
      <c r="L96" s="1336"/>
      <c r="M96" s="536"/>
      <c r="N96" s="1335"/>
      <c r="O96" s="1336"/>
      <c r="Q96" s="498"/>
    </row>
    <row r="97" spans="7:15" ht="6.75" customHeight="1">
      <c r="G97" s="6"/>
      <c r="H97" s="1348"/>
      <c r="I97" s="1349"/>
      <c r="K97" s="1348"/>
      <c r="L97" s="1349"/>
      <c r="M97" s="536"/>
      <c r="N97" s="1348"/>
      <c r="O97" s="1349"/>
    </row>
    <row r="98" spans="7:15" ht="6.75" customHeight="1">
      <c r="G98" s="6"/>
      <c r="M98" s="536"/>
    </row>
  </sheetData>
  <mergeCells count="21">
    <mergeCell ref="H88:I88"/>
    <mergeCell ref="K88:L88"/>
    <mergeCell ref="N88:O88"/>
    <mergeCell ref="C13:E14"/>
    <mergeCell ref="H13:I13"/>
    <mergeCell ref="H14:I14"/>
    <mergeCell ref="N13:O13"/>
    <mergeCell ref="N14:O14"/>
    <mergeCell ref="K13:L13"/>
    <mergeCell ref="K14:L14"/>
    <mergeCell ref="H77:I77"/>
    <mergeCell ref="K67:L67"/>
    <mergeCell ref="N67:O67"/>
    <mergeCell ref="N77:O77"/>
    <mergeCell ref="K77:L77"/>
    <mergeCell ref="N10:V11"/>
    <mergeCell ref="H57:I57"/>
    <mergeCell ref="K57:L57"/>
    <mergeCell ref="N57:O57"/>
    <mergeCell ref="H67:I67"/>
    <mergeCell ref="R58:W59"/>
  </mergeCells>
  <pageMargins left="0.5" right="0.5" top="0.2" bottom="0.2" header="0.3" footer="0.3"/>
  <pageSetup paperSize="8" scale="9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6194" r:id="rId4" name="Drop Down 2">
              <controlPr defaultSize="0" autoLine="0" autoPict="0">
                <anchor moveWithCells="1">
                  <from>
                    <xdr:col>4</xdr:col>
                    <xdr:colOff>660400</xdr:colOff>
                    <xdr:row>12</xdr:row>
                    <xdr:rowOff>101600</xdr:rowOff>
                  </from>
                  <to>
                    <xdr:col>5</xdr:col>
                    <xdr:colOff>355600</xdr:colOff>
                    <xdr:row>13</xdr:row>
                    <xdr:rowOff>88900</xdr:rowOff>
                  </to>
                </anchor>
              </controlPr>
            </control>
          </mc:Choice>
        </mc:AlternateContent>
        <mc:AlternateContent xmlns:mc="http://schemas.openxmlformats.org/markup-compatibility/2006">
          <mc:Choice Requires="x14">
            <control shapeId="136195" r:id="rId5" name="Drop Down 3">
              <controlPr defaultSize="0" autoLine="0" autoPict="0">
                <anchor moveWithCells="1">
                  <from>
                    <xdr:col>16</xdr:col>
                    <xdr:colOff>25400</xdr:colOff>
                    <xdr:row>5</xdr:row>
                    <xdr:rowOff>25400</xdr:rowOff>
                  </from>
                  <to>
                    <xdr:col>18</xdr:col>
                    <xdr:colOff>444500</xdr:colOff>
                    <xdr:row>5</xdr:row>
                    <xdr:rowOff>177800</xdr:rowOff>
                  </to>
                </anchor>
              </controlPr>
            </control>
          </mc:Choice>
        </mc:AlternateContent>
        <mc:AlternateContent xmlns:mc="http://schemas.openxmlformats.org/markup-compatibility/2006">
          <mc:Choice Requires="x14">
            <control shapeId="136201" r:id="rId6" name="Drop Down 9">
              <controlPr defaultSize="0" autoLine="0" autoPict="0">
                <anchor moveWithCells="1">
                  <from>
                    <xdr:col>7</xdr:col>
                    <xdr:colOff>304800</xdr:colOff>
                    <xdr:row>5</xdr:row>
                    <xdr:rowOff>76200</xdr:rowOff>
                  </from>
                  <to>
                    <xdr:col>8</xdr:col>
                    <xdr:colOff>457200</xdr:colOff>
                    <xdr:row>6</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rgb="FFFFFF00"/>
  </sheetPr>
  <dimension ref="A1:V37"/>
  <sheetViews>
    <sheetView zoomScale="90" zoomScaleNormal="90" workbookViewId="0">
      <selection activeCell="H35" sqref="H35"/>
    </sheetView>
  </sheetViews>
  <sheetFormatPr baseColWidth="10" defaultColWidth="8.83203125" defaultRowHeight="13"/>
  <cols>
    <col min="1" max="1" width="4.33203125" customWidth="1"/>
    <col min="2" max="2" width="9.1640625" customWidth="1"/>
    <col min="3" max="4" width="14" customWidth="1"/>
    <col min="5" max="5" width="13.1640625" style="1" customWidth="1"/>
    <col min="6" max="6" width="10.6640625" style="1" customWidth="1"/>
    <col min="7" max="7" width="10.1640625" style="1" customWidth="1"/>
    <col min="8" max="8" width="12.33203125" style="1" customWidth="1"/>
    <col min="9" max="9" width="10" style="1" customWidth="1"/>
    <col min="10" max="10" width="11.33203125" style="1" customWidth="1"/>
    <col min="11" max="11" width="6.33203125" customWidth="1"/>
    <col min="12" max="12" width="4.83203125" customWidth="1"/>
    <col min="13" max="13" width="9.33203125" style="1" customWidth="1"/>
    <col min="14" max="14" width="9.83203125" customWidth="1"/>
    <col min="15" max="15" width="11" customWidth="1"/>
    <col min="16" max="16" width="12.33203125" style="1" customWidth="1"/>
    <col min="17" max="17" width="2.33203125" customWidth="1"/>
    <col min="18" max="18" width="7.1640625" customWidth="1"/>
    <col min="22" max="22" width="12" customWidth="1"/>
  </cols>
  <sheetData>
    <row r="1" spans="1:22" s="494" customFormat="1" ht="42" customHeight="1">
      <c r="A1" s="494" t="s">
        <v>443</v>
      </c>
      <c r="E1" s="495"/>
      <c r="F1" s="495"/>
      <c r="G1" s="495"/>
      <c r="H1" s="495"/>
      <c r="I1" s="495"/>
      <c r="J1" s="495"/>
      <c r="M1" s="495"/>
      <c r="P1" s="495"/>
    </row>
    <row r="2" spans="1:22">
      <c r="B2" s="969" t="str">
        <f>'TCO Solar Farm-Containers'!B128</f>
        <v>06-Jan-2021 rev. b</v>
      </c>
      <c r="C2" s="969"/>
      <c r="D2" s="969"/>
      <c r="E2" s="969"/>
    </row>
    <row r="3" spans="1:22" ht="29.25" customHeight="1">
      <c r="B3" s="496"/>
      <c r="C3" s="496"/>
      <c r="D3" s="496"/>
      <c r="E3" s="496"/>
    </row>
    <row r="4" spans="1:22" s="491" customFormat="1" ht="18.75" customHeight="1">
      <c r="D4" s="808" t="s">
        <v>0</v>
      </c>
      <c r="E4" s="1453" t="s">
        <v>438</v>
      </c>
      <c r="F4" s="1453"/>
      <c r="G4" s="1453"/>
      <c r="H4" s="1458" t="s">
        <v>372</v>
      </c>
      <c r="I4" s="1458"/>
      <c r="J4" s="1452" t="s">
        <v>453</v>
      </c>
      <c r="K4" s="1452"/>
      <c r="L4" s="1452"/>
      <c r="M4" s="1452"/>
      <c r="N4" s="1452"/>
      <c r="O4" s="1452"/>
      <c r="P4" s="1452"/>
    </row>
    <row r="5" spans="1:22" s="6" customFormat="1" ht="16.5" customHeight="1">
      <c r="D5" s="809" t="s">
        <v>841</v>
      </c>
      <c r="E5" s="492" t="s">
        <v>430</v>
      </c>
      <c r="F5" s="492" t="s">
        <v>432</v>
      </c>
      <c r="G5" s="492" t="s">
        <v>433</v>
      </c>
      <c r="H5" s="493"/>
      <c r="I5" s="493"/>
      <c r="J5" s="1459" t="s">
        <v>390</v>
      </c>
      <c r="K5" s="1459"/>
      <c r="L5" s="1459"/>
      <c r="M5" s="1459"/>
      <c r="N5" s="1459"/>
      <c r="O5" s="1459"/>
      <c r="P5" s="1454" t="s">
        <v>441</v>
      </c>
    </row>
    <row r="6" spans="1:22" ht="12.75" customHeight="1">
      <c r="D6" s="810" t="s">
        <v>1</v>
      </c>
      <c r="E6" s="481" t="s">
        <v>431</v>
      </c>
      <c r="F6" s="481" t="s">
        <v>344</v>
      </c>
      <c r="G6" s="481" t="s">
        <v>434</v>
      </c>
      <c r="H6" s="482" t="s">
        <v>442</v>
      </c>
      <c r="I6" s="482" t="s">
        <v>885</v>
      </c>
      <c r="J6" s="483" t="s">
        <v>429</v>
      </c>
      <c r="K6" s="1457" t="s">
        <v>374</v>
      </c>
      <c r="L6" s="1457"/>
      <c r="M6" s="484" t="s">
        <v>417</v>
      </c>
      <c r="N6" s="1456" t="s">
        <v>454</v>
      </c>
      <c r="O6" s="1456"/>
      <c r="P6" s="1455"/>
    </row>
    <row r="7" spans="1:22" s="1" customFormat="1">
      <c r="J7" s="483" t="s">
        <v>16</v>
      </c>
      <c r="K7" s="1457" t="s">
        <v>713</v>
      </c>
      <c r="L7" s="1457"/>
      <c r="M7" s="483" t="s">
        <v>175</v>
      </c>
      <c r="N7" s="483" t="s">
        <v>436</v>
      </c>
      <c r="O7" s="486" t="s">
        <v>437</v>
      </c>
      <c r="P7" s="1455"/>
    </row>
    <row r="8" spans="1:22">
      <c r="B8" s="119" t="str">
        <f>CONCATENATE(H8," m2 PV unit")</f>
        <v>20 m2 PV unit</v>
      </c>
      <c r="D8" s="813"/>
      <c r="E8" s="488">
        <f ca="1">'Standalone-PV-Station-5kW'!E63*$R$8</f>
        <v>15.193894736842109</v>
      </c>
      <c r="F8" s="488">
        <f ca="1">'Standalone-PV-Station-5kW'!E60*$R$8</f>
        <v>1.0129263157894739</v>
      </c>
      <c r="G8" s="477">
        <f>I8</f>
        <v>4.3740000000000006</v>
      </c>
      <c r="H8" s="1239">
        <v>20</v>
      </c>
      <c r="I8" s="477">
        <f>'Standalone-PV-Station-5kW'!E43*$R$8/1000</f>
        <v>4.3740000000000006</v>
      </c>
      <c r="J8" s="488">
        <f ca="1">'Standalone-PV-Station-5kW'!E68*$R$8</f>
        <v>10.442249999999998</v>
      </c>
      <c r="K8" s="71">
        <f ca="1">'Standalone-PV-Station-5kW'!E21*$R$8</f>
        <v>176.71499999999997</v>
      </c>
      <c r="L8" t="s">
        <v>131</v>
      </c>
      <c r="M8" s="1232">
        <f ca="1">'Standalone-PV-Station-5kW'!E20*$R$8/1000</f>
        <v>0.14279999999999998</v>
      </c>
      <c r="N8" s="487"/>
      <c r="O8" s="487"/>
      <c r="P8" s="1233">
        <f ca="1">'Standalone-PV-Station-5kW'!E22*$R$8</f>
        <v>2.0849301585563702</v>
      </c>
      <c r="R8" s="1237">
        <f>H8/'Standalone-PV-Station-5kW'!E40</f>
        <v>0.20833333333333331</v>
      </c>
      <c r="S8" s="1238" t="s">
        <v>843</v>
      </c>
    </row>
    <row r="9" spans="1:22">
      <c r="B9" s="119" t="str">
        <f ca="1">CONCATENATE("Home system ",TEXT(F9,"#.0 kW"))</f>
        <v>Home system .5 kW</v>
      </c>
      <c r="D9" s="813"/>
      <c r="E9" s="488">
        <f t="shared" ref="E9:H10" ca="1" si="0">$J9/$J8*E8</f>
        <v>72.752015786071553</v>
      </c>
      <c r="F9" s="477">
        <f t="shared" ca="1" si="0"/>
        <v>4.8501343857381034</v>
      </c>
      <c r="G9" s="477">
        <f t="shared" ca="1" si="0"/>
        <v>20.943762120232716</v>
      </c>
      <c r="H9" s="993">
        <f t="shared" ca="1" si="0"/>
        <v>95.764801647154613</v>
      </c>
      <c r="I9" s="478">
        <f t="shared" ref="H9:I11" ca="1" si="1">$J9/$J8*I8</f>
        <v>20.943762120232716</v>
      </c>
      <c r="J9" s="1235">
        <v>50</v>
      </c>
      <c r="K9" s="71">
        <f ca="1">K8*$J9/$J8</f>
        <v>846.15384615384619</v>
      </c>
      <c r="L9" t="str">
        <f>L8</f>
        <v>kg</v>
      </c>
      <c r="M9" s="480">
        <f ca="1">M8*$J9/$J8</f>
        <v>0.68376068376068377</v>
      </c>
      <c r="N9" s="1234">
        <f ca="1">'Standalone-PV-Station-5kW'!E85*F9/'Standalone-PV-Station-5kW'!E60</f>
        <v>5.4056411917890257</v>
      </c>
      <c r="O9" s="485">
        <f ca="1">N9*1000/J9</f>
        <v>108.1128238357805</v>
      </c>
      <c r="P9" s="490">
        <f ca="1">$P8/J8*J9</f>
        <v>9.9831461541160689</v>
      </c>
    </row>
    <row r="10" spans="1:22">
      <c r="B10" s="119" t="s">
        <v>402</v>
      </c>
      <c r="C10" s="410"/>
      <c r="D10" s="811">
        <f ca="1">D11*(1+container_20fvs40f*OFFSET('TCO Solar Farm-Containers'!H127,0,0))</f>
        <v>4.521857077904843E-2</v>
      </c>
      <c r="E10" s="488">
        <f t="shared" ca="1" si="0"/>
        <v>1166.8911157894743</v>
      </c>
      <c r="F10" s="489">
        <f t="shared" ca="1" si="0"/>
        <v>77.792741052631627</v>
      </c>
      <c r="G10" s="489">
        <f t="shared" ca="1" si="0"/>
        <v>335.92320000000012</v>
      </c>
      <c r="H10" s="993">
        <f t="shared" ca="1" si="1"/>
        <v>1536.0000000000005</v>
      </c>
      <c r="I10" s="489">
        <f t="shared" ca="1" si="1"/>
        <v>335.92320000000012</v>
      </c>
      <c r="J10" s="488">
        <f ca="1">'Container system'!P39</f>
        <v>801.96479999999997</v>
      </c>
      <c r="K10" s="71">
        <f ca="1">'Container system'!P36</f>
        <v>14.9288832</v>
      </c>
      <c r="L10" t="s">
        <v>206</v>
      </c>
      <c r="M10" s="479">
        <f ca="1">M9*$J10/$J9</f>
        <v>10.967039999999999</v>
      </c>
      <c r="N10" s="994">
        <f ca="1">'Container system'!P55</f>
        <v>45.178484542396227</v>
      </c>
      <c r="O10" s="485">
        <f ca="1">O11*(1+container_20fvs40f)</f>
        <v>59.987610841156489</v>
      </c>
      <c r="P10" s="490">
        <f ca="1">$J10/$J9*P9</f>
        <v>160.12263617712924</v>
      </c>
    </row>
    <row r="11" spans="1:22">
      <c r="B11" s="119" t="s">
        <v>396</v>
      </c>
      <c r="D11" s="811">
        <f ca="1">D12</f>
        <v>4.3664982891748021E-2</v>
      </c>
      <c r="E11" s="488">
        <f ca="1">$J11/$J10*E10</f>
        <v>2178.196749473685</v>
      </c>
      <c r="F11" s="489">
        <f ca="1">$J11/$J10*F10</f>
        <v>145.213116631579</v>
      </c>
      <c r="G11" s="489">
        <f ca="1">$J11/$J10*G10</f>
        <v>627.05664000000013</v>
      </c>
      <c r="H11" s="993">
        <f t="shared" ca="1" si="1"/>
        <v>2867.2000000000003</v>
      </c>
      <c r="I11" s="489">
        <f t="shared" ca="1" si="1"/>
        <v>627.05664000000013</v>
      </c>
      <c r="J11" s="488">
        <f ca="1">'Container system'!E39</f>
        <v>1497.0009599999996</v>
      </c>
      <c r="K11" s="71">
        <f ca="1">'Container system'!E36</f>
        <v>27.867248640000003</v>
      </c>
      <c r="L11" t="s">
        <v>206</v>
      </c>
      <c r="M11" s="479">
        <f ca="1">M10*$J11/$J10</f>
        <v>20.471807999999992</v>
      </c>
      <c r="N11" s="994">
        <f ca="1">'Container system'!E55</f>
        <v>77.922531607168438</v>
      </c>
      <c r="O11" s="485">
        <f ca="1">O12</f>
        <v>54.445298214195162</v>
      </c>
      <c r="P11" s="490">
        <f ca="1">$J11/$J10*P10</f>
        <v>298.89558753064119</v>
      </c>
      <c r="R11" s="964">
        <v>1</v>
      </c>
      <c r="S11" s="498" t="s">
        <v>612</v>
      </c>
    </row>
    <row r="12" spans="1:22">
      <c r="B12" s="119" t="s">
        <v>439</v>
      </c>
      <c r="D12" s="812">
        <f ca="1">OFFSET('TCO Solar Farm-Containers'!$H$116,0,opt_YearId-1)</f>
        <v>4.3664982891748021E-2</v>
      </c>
      <c r="E12" s="488">
        <f ca="1">$F12/$F11*E11</f>
        <v>15000</v>
      </c>
      <c r="F12" s="489">
        <v>1000</v>
      </c>
      <c r="G12" s="489">
        <f ca="1">$F12/$F11*G11</f>
        <v>4318.1818181818171</v>
      </c>
      <c r="H12" s="993">
        <f t="shared" ref="H12:P14" ca="1" si="2">$F12/$F11*H11</f>
        <v>19744.772831192578</v>
      </c>
      <c r="I12" s="489">
        <f t="shared" ca="1" si="2"/>
        <v>4318.1818181818171</v>
      </c>
      <c r="J12" s="488">
        <f t="shared" ca="1" si="2"/>
        <v>10308.992704826032</v>
      </c>
      <c r="K12" s="71">
        <f t="shared" ca="1" si="2"/>
        <v>191.9058641975308</v>
      </c>
      <c r="L12" t="s">
        <v>206</v>
      </c>
      <c r="M12" s="479">
        <f t="shared" ca="1" si="2"/>
        <v>140.97767801471494</v>
      </c>
      <c r="N12" s="994">
        <f ca="1">$F12/$F11*N11</f>
        <v>536.60807931604495</v>
      </c>
      <c r="O12" s="485">
        <f ca="1">OFFSET('TCO Solar Farm-Containers'!$H$99,0,opt_YearId-1)</f>
        <v>54.445298214195162</v>
      </c>
      <c r="P12" s="490">
        <f t="shared" ca="1" si="2"/>
        <v>2058.3236174798922</v>
      </c>
      <c r="R12" s="964">
        <f ca="1">R11*J12/J11</f>
        <v>6.8864302564148225</v>
      </c>
      <c r="S12" s="498" t="s">
        <v>612</v>
      </c>
    </row>
    <row r="13" spans="1:22">
      <c r="A13" s="459" t="s">
        <v>711</v>
      </c>
      <c r="B13" s="1451">
        <f>3*12</f>
        <v>36</v>
      </c>
      <c r="C13" s="1451"/>
      <c r="D13" s="812">
        <f ca="1">OFFSET('TCO Solar Farm-Containers'!$H$116,0,opt_YearId-1)</f>
        <v>4.3664982891748021E-2</v>
      </c>
      <c r="E13" s="488">
        <f ca="1">$F13/$F12*E12</f>
        <v>65476.814207464391</v>
      </c>
      <c r="F13" s="489">
        <f ca="1">B13*1000/J12*F12*$S$15</f>
        <v>4365.1209471642933</v>
      </c>
      <c r="G13" s="489">
        <f ca="1">$F13/$F12*G12</f>
        <v>18849.385908209442</v>
      </c>
      <c r="H13" s="993">
        <f t="shared" ca="1" si="2"/>
        <v>86188.321482439147</v>
      </c>
      <c r="I13" s="489">
        <f t="shared" ca="1" si="2"/>
        <v>18849.385908209442</v>
      </c>
      <c r="J13" s="999">
        <f t="shared" ca="1" si="2"/>
        <v>44999.999999999993</v>
      </c>
      <c r="K13" s="1000">
        <f t="shared" ca="1" si="2"/>
        <v>837.69230769230785</v>
      </c>
      <c r="L13" s="459" t="s">
        <v>206</v>
      </c>
      <c r="M13" s="1001">
        <f t="shared" ca="1" si="2"/>
        <v>615.38461538461513</v>
      </c>
      <c r="N13" s="1002">
        <f ca="1">$F13/$F12*N12</f>
        <v>2342.3591674400664</v>
      </c>
      <c r="O13" s="1003">
        <f ca="1">OFFSET('TCO Solar Farm-Containers'!$H$99,0,opt_YearId-1)</f>
        <v>54.445298214195162</v>
      </c>
      <c r="P13" s="1004">
        <f t="shared" ca="1" si="2"/>
        <v>8984.8315387044604</v>
      </c>
      <c r="R13" s="1005">
        <f ca="1">R12*J13/J12</f>
        <v>30.060100963462311</v>
      </c>
      <c r="S13" s="1006" t="s">
        <v>612</v>
      </c>
      <c r="T13" s="459"/>
    </row>
    <row r="14" spans="1:22">
      <c r="A14" s="459" t="s">
        <v>711</v>
      </c>
      <c r="B14" s="1451">
        <f>3*24</f>
        <v>72</v>
      </c>
      <c r="C14" s="1451"/>
      <c r="D14" s="812">
        <f ca="1">OFFSET('TCO Solar Farm-Containers'!$H$116,0,opt_YearId-1)</f>
        <v>4.3664982891748021E-2</v>
      </c>
      <c r="E14" s="488">
        <f ca="1">$F14/$F13*E13</f>
        <v>130953.62841492881</v>
      </c>
      <c r="F14" s="489">
        <f ca="1">B14*1000/J13*F13*$S$15</f>
        <v>8730.2418943285884</v>
      </c>
      <c r="G14" s="489">
        <f ca="1">$F14/$F13*G13</f>
        <v>37698.771816418892</v>
      </c>
      <c r="H14" s="993">
        <f t="shared" ca="1" si="2"/>
        <v>172376.64296487832</v>
      </c>
      <c r="I14" s="489">
        <f t="shared" ca="1" si="2"/>
        <v>37698.771816418892</v>
      </c>
      <c r="J14" s="999">
        <f t="shared" ca="1" si="2"/>
        <v>90000</v>
      </c>
      <c r="K14" s="1000">
        <f t="shared" ca="1" si="2"/>
        <v>1675.3846153846162</v>
      </c>
      <c r="L14" s="459" t="s">
        <v>206</v>
      </c>
      <c r="M14" s="1001">
        <f t="shared" ca="1" si="2"/>
        <v>1230.7692307692305</v>
      </c>
      <c r="N14" s="1002">
        <f ca="1">$F14/$F13*N13</f>
        <v>4684.7183348801336</v>
      </c>
      <c r="O14" s="1003">
        <f ca="1">OFFSET('TCO Solar Farm-Containers'!$H$99,0,opt_YearId-1)</f>
        <v>54.445298214195162</v>
      </c>
      <c r="P14" s="1004">
        <f t="shared" ca="1" si="2"/>
        <v>17969.663077408924</v>
      </c>
      <c r="R14" s="1005">
        <f ca="1">R13*J14/J13</f>
        <v>60.120201926924629</v>
      </c>
      <c r="S14" s="1006" t="s">
        <v>612</v>
      </c>
      <c r="T14" s="459"/>
    </row>
    <row r="15" spans="1:22">
      <c r="B15" s="407"/>
      <c r="C15" s="407"/>
      <c r="D15" s="407"/>
      <c r="F15" s="723"/>
      <c r="G15" s="723"/>
      <c r="H15" s="723"/>
      <c r="S15" s="1236">
        <v>1.25</v>
      </c>
      <c r="T15" s="466" t="s">
        <v>710</v>
      </c>
      <c r="U15" s="466"/>
      <c r="V15" s="466"/>
    </row>
    <row r="16" spans="1:22">
      <c r="B16" s="407"/>
      <c r="C16" s="407"/>
      <c r="D16" s="407"/>
      <c r="F16" s="723"/>
      <c r="G16" s="723"/>
      <c r="H16" s="723"/>
      <c r="S16" s="466"/>
      <c r="T16" s="466" t="s">
        <v>844</v>
      </c>
      <c r="U16" s="466"/>
      <c r="V16" s="466"/>
    </row>
    <row r="17" spans="1:11">
      <c r="B17" s="462">
        <f ca="1">'Standalone-PV-Station-5kW'!E22/'Standalone-PV-Station-5kW'!E49</f>
        <v>7.4461791377013226E-2</v>
      </c>
      <c r="C17" t="s">
        <v>435</v>
      </c>
    </row>
    <row r="19" spans="1:11" ht="15">
      <c r="C19" t="s">
        <v>883</v>
      </c>
    </row>
    <row r="21" spans="1:11" s="193" customFormat="1" ht="17.25" customHeight="1">
      <c r="B21" s="193" t="s">
        <v>660</v>
      </c>
      <c r="D21"/>
      <c r="E21" s="953"/>
      <c r="F21" s="953"/>
      <c r="H21" s="912"/>
    </row>
    <row r="22" spans="1:11" s="79" customFormat="1" ht="3.75" customHeight="1">
      <c r="H22" s="911"/>
    </row>
    <row r="23" spans="1:11" s="79" customFormat="1" ht="18" customHeight="1">
      <c r="A23" s="955" t="s">
        <v>664</v>
      </c>
      <c r="B23" s="895" t="str">
        <f ca="1">INDIRECT(H23,TRUE)</f>
        <v>AZA Perfs (Costs &amp; SceLife)</v>
      </c>
      <c r="C23" s="893"/>
      <c r="D23" s="893"/>
      <c r="E23" s="896"/>
      <c r="F23" s="896">
        <f ca="1">OFFSET(INDIRECT(H23,TRUE),1,0)</f>
        <v>1</v>
      </c>
      <c r="H23" s="955" t="str">
        <f>CONCATENATE("'DropDown menus'!",A23,3)</f>
        <v>'DropDown menus'!L3</v>
      </c>
      <c r="I23" s="955"/>
      <c r="J23" s="955"/>
      <c r="K23" s="955"/>
    </row>
    <row r="24" spans="1:11" s="79" customFormat="1" ht="3.75" customHeight="1">
      <c r="A24" s="955"/>
      <c r="H24" s="955"/>
      <c r="I24" s="955"/>
      <c r="J24" s="955"/>
      <c r="K24" s="955"/>
    </row>
    <row r="25" spans="1:11" s="79" customFormat="1" ht="18" customHeight="1">
      <c r="A25" s="955" t="s">
        <v>667</v>
      </c>
      <c r="B25" s="895" t="str">
        <f ca="1">INDIRECT(H25,TRUE)</f>
        <v>AZA ZAB energy eff.</v>
      </c>
      <c r="C25" s="893"/>
      <c r="D25" s="893"/>
      <c r="E25" s="896"/>
      <c r="F25" s="896">
        <f ca="1">OFFSET(INDIRECT(H25,TRUE),1,0)</f>
        <v>0.55000000000000004</v>
      </c>
      <c r="H25" s="955" t="str">
        <f>CONCATENATE("'DropDown menus'!",A25,3)</f>
        <v>'DropDown menus'!AI3</v>
      </c>
      <c r="I25" s="955"/>
      <c r="J25" s="955"/>
      <c r="K25" s="955"/>
    </row>
    <row r="26" spans="1:11" s="79" customFormat="1" ht="3.75" customHeight="1">
      <c r="A26" s="955"/>
      <c r="H26" s="955"/>
      <c r="I26" s="955"/>
      <c r="J26" s="955"/>
      <c r="K26" s="955"/>
    </row>
    <row r="27" spans="1:11" s="79" customFormat="1" ht="18" customHeight="1">
      <c r="A27" s="955" t="s">
        <v>662</v>
      </c>
      <c r="B27" s="895" t="str">
        <f ca="1">INDIRECT(H27,TRUE)</f>
        <v>Inflation Rate</v>
      </c>
      <c r="C27" s="894"/>
      <c r="D27" s="893"/>
      <c r="E27" s="897"/>
      <c r="F27" s="897">
        <f ca="1">OFFSET(INDIRECT(H27,TRUE),1,0)</f>
        <v>0.02</v>
      </c>
      <c r="H27" s="955" t="str">
        <f>CONCATENATE("'DropDown menus'!",A27,3)</f>
        <v>'DropDown menus'!F3</v>
      </c>
      <c r="I27" s="955"/>
      <c r="J27" s="955"/>
      <c r="K27" s="955"/>
    </row>
    <row r="28" spans="1:11" s="79" customFormat="1" ht="3.75" customHeight="1">
      <c r="A28" s="955"/>
      <c r="E28" s="898"/>
      <c r="F28" s="898"/>
      <c r="H28" s="955"/>
      <c r="I28" s="955"/>
      <c r="J28" s="955"/>
      <c r="K28" s="955"/>
    </row>
    <row r="29" spans="1:11" s="79" customFormat="1" ht="18" customHeight="1">
      <c r="A29" s="955" t="s">
        <v>663</v>
      </c>
      <c r="B29" s="895" t="str">
        <f ca="1">INDIRECT(H29,TRUE)</f>
        <v>WACC nominal</v>
      </c>
      <c r="C29" s="893"/>
      <c r="D29" s="893"/>
      <c r="E29" s="897"/>
      <c r="F29" s="897">
        <f ca="1">OFFSET(INDIRECT(H29,TRUE),1,0)</f>
        <v>0.04</v>
      </c>
      <c r="H29" s="955" t="str">
        <f>CONCATENATE("'DropDown menus'!",A29,3)</f>
        <v>'DropDown menus'!I3</v>
      </c>
      <c r="I29" s="955"/>
      <c r="J29" s="955"/>
      <c r="K29" s="955"/>
    </row>
    <row r="30" spans="1:11" s="79" customFormat="1" ht="3.75" customHeight="1">
      <c r="A30" s="955"/>
      <c r="E30" s="898"/>
      <c r="F30" s="898"/>
      <c r="H30" s="955"/>
      <c r="I30" s="955"/>
      <c r="J30" s="955"/>
      <c r="K30" s="955"/>
    </row>
    <row r="31" spans="1:11" s="79" customFormat="1" ht="18" customHeight="1">
      <c r="A31" s="955" t="s">
        <v>666</v>
      </c>
      <c r="B31" s="895" t="str">
        <f ca="1">INDIRECT(H31,TRUE)</f>
        <v>PV OPEX/CAPEX</v>
      </c>
      <c r="C31" s="893"/>
      <c r="D31" s="893"/>
      <c r="E31" s="897"/>
      <c r="F31" s="897">
        <f ca="1">OFFSET(INDIRECT(H31,TRUE),1,0)</f>
        <v>0.02</v>
      </c>
      <c r="H31" s="955" t="str">
        <f>CONCATENATE("'DropDown menus'!",A31,3)</f>
        <v>'DropDown menus'!AF3</v>
      </c>
      <c r="I31" s="955"/>
      <c r="J31" s="955"/>
      <c r="K31" s="955"/>
    </row>
    <row r="32" spans="1:11" s="79" customFormat="1" ht="3.75" customHeight="1">
      <c r="A32" s="955"/>
      <c r="H32" s="955"/>
      <c r="I32" s="955"/>
      <c r="J32" s="955"/>
      <c r="K32" s="955"/>
    </row>
    <row r="33" spans="1:11" s="79" customFormat="1" ht="18" customHeight="1">
      <c r="A33" s="955" t="s">
        <v>275</v>
      </c>
      <c r="B33" s="895" t="str">
        <f ca="1">INDIRECT(H33,TRUE)</f>
        <v>EUR2USD yearly progress</v>
      </c>
      <c r="C33" s="893"/>
      <c r="D33" s="893"/>
      <c r="E33" s="897"/>
      <c r="F33" s="897">
        <f ca="1">OFFSET(INDIRECT(H33,TRUE),1,0)</f>
        <v>0</v>
      </c>
      <c r="H33" s="955" t="str">
        <f>CONCATENATE("'DropDown menus'!",A33,3)</f>
        <v>'DropDown menus'!C3</v>
      </c>
      <c r="I33" s="955"/>
      <c r="J33" s="955"/>
      <c r="K33" s="955"/>
    </row>
    <row r="34" spans="1:11" s="79" customFormat="1" ht="3.75" customHeight="1">
      <c r="A34" s="911"/>
      <c r="E34" s="898"/>
      <c r="H34" s="911"/>
    </row>
    <row r="35" spans="1:11" s="79" customFormat="1" ht="18" customHeight="1">
      <c r="A35" s="955" t="s">
        <v>685</v>
      </c>
      <c r="B35" s="895" t="str">
        <f ca="1">INDIRECT(H35,TRUE)</f>
        <v>PV Balance of System</v>
      </c>
      <c r="C35" s="893"/>
      <c r="D35" s="893"/>
      <c r="E35" s="897"/>
      <c r="F35" s="966">
        <f ca="1">OFFSET(INDIRECT(H35,TRUE),1,0)</f>
        <v>125</v>
      </c>
      <c r="H35" s="955" t="str">
        <f>CONCATENATE("'DropDown menus'!",A35,3)</f>
        <v>'DropDown menus'!AO3</v>
      </c>
      <c r="I35" s="955"/>
      <c r="J35" s="955"/>
      <c r="K35" s="955"/>
    </row>
    <row r="36" spans="1:11" s="79" customFormat="1" ht="3.75" customHeight="1">
      <c r="A36" s="911"/>
      <c r="E36" s="898"/>
      <c r="H36" s="911"/>
    </row>
    <row r="37" spans="1:11" s="79" customFormat="1" ht="18" customHeight="1">
      <c r="A37" s="955" t="s">
        <v>685</v>
      </c>
      <c r="B37" s="895" t="s">
        <v>839</v>
      </c>
      <c r="C37" s="893"/>
      <c r="D37" s="1231"/>
      <c r="E37" s="1231" t="s">
        <v>842</v>
      </c>
      <c r="F37" s="1231"/>
      <c r="G37" s="724"/>
    </row>
  </sheetData>
  <mergeCells count="10">
    <mergeCell ref="B13:C13"/>
    <mergeCell ref="B14:C14"/>
    <mergeCell ref="J4:P4"/>
    <mergeCell ref="E4:G4"/>
    <mergeCell ref="P5:P7"/>
    <mergeCell ref="N6:O6"/>
    <mergeCell ref="K6:L6"/>
    <mergeCell ref="H4:I4"/>
    <mergeCell ref="J5:O5"/>
    <mergeCell ref="K7:L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5</xdr:col>
                    <xdr:colOff>292100</xdr:colOff>
                    <xdr:row>14</xdr:row>
                    <xdr:rowOff>76200</xdr:rowOff>
                  </from>
                  <to>
                    <xdr:col>7</xdr:col>
                    <xdr:colOff>355600</xdr:colOff>
                    <xdr:row>15</xdr:row>
                    <xdr:rowOff>101600</xdr:rowOff>
                  </to>
                </anchor>
              </controlPr>
            </control>
          </mc:Choice>
        </mc:AlternateContent>
        <mc:AlternateContent xmlns:mc="http://schemas.openxmlformats.org/markup-compatibility/2006">
          <mc:Choice Requires="x14">
            <control shapeId="1030" r:id="rId5" name="Drop Down 6">
              <controlPr defaultSize="0" autoLine="0" autoPict="0">
                <anchor moveWithCells="1">
                  <from>
                    <xdr:col>2</xdr:col>
                    <xdr:colOff>901700</xdr:colOff>
                    <xdr:row>30</xdr:row>
                    <xdr:rowOff>25400</xdr:rowOff>
                  </from>
                  <to>
                    <xdr:col>4</xdr:col>
                    <xdr:colOff>698500</xdr:colOff>
                    <xdr:row>30</xdr:row>
                    <xdr:rowOff>215900</xdr:rowOff>
                  </to>
                </anchor>
              </controlPr>
            </control>
          </mc:Choice>
        </mc:AlternateContent>
        <mc:AlternateContent xmlns:mc="http://schemas.openxmlformats.org/markup-compatibility/2006">
          <mc:Choice Requires="x14">
            <control shapeId="1031" r:id="rId6" name="Drop Down 7">
              <controlPr defaultSize="0" autoLine="0" autoPict="0">
                <anchor moveWithCells="1">
                  <from>
                    <xdr:col>2</xdr:col>
                    <xdr:colOff>901700</xdr:colOff>
                    <xdr:row>24</xdr:row>
                    <xdr:rowOff>25400</xdr:rowOff>
                  </from>
                  <to>
                    <xdr:col>4</xdr:col>
                    <xdr:colOff>698500</xdr:colOff>
                    <xdr:row>24</xdr:row>
                    <xdr:rowOff>215900</xdr:rowOff>
                  </to>
                </anchor>
              </controlPr>
            </control>
          </mc:Choice>
        </mc:AlternateContent>
        <mc:AlternateContent xmlns:mc="http://schemas.openxmlformats.org/markup-compatibility/2006">
          <mc:Choice Requires="x14">
            <control shapeId="1033" r:id="rId7" name="Drop Down 9">
              <controlPr defaultSize="0" autoLine="0" autoPict="0">
                <anchor moveWithCells="1">
                  <from>
                    <xdr:col>2</xdr:col>
                    <xdr:colOff>901700</xdr:colOff>
                    <xdr:row>22</xdr:row>
                    <xdr:rowOff>25400</xdr:rowOff>
                  </from>
                  <to>
                    <xdr:col>4</xdr:col>
                    <xdr:colOff>698500</xdr:colOff>
                    <xdr:row>22</xdr:row>
                    <xdr:rowOff>215900</xdr:rowOff>
                  </to>
                </anchor>
              </controlPr>
            </control>
          </mc:Choice>
        </mc:AlternateContent>
        <mc:AlternateContent xmlns:mc="http://schemas.openxmlformats.org/markup-compatibility/2006">
          <mc:Choice Requires="x14">
            <control shapeId="1034" r:id="rId8" name="Drop Down 10">
              <controlPr defaultSize="0" autoLine="0" autoPict="0">
                <anchor moveWithCells="1">
                  <from>
                    <xdr:col>2</xdr:col>
                    <xdr:colOff>901700</xdr:colOff>
                    <xdr:row>26</xdr:row>
                    <xdr:rowOff>25400</xdr:rowOff>
                  </from>
                  <to>
                    <xdr:col>4</xdr:col>
                    <xdr:colOff>698500</xdr:colOff>
                    <xdr:row>26</xdr:row>
                    <xdr:rowOff>215900</xdr:rowOff>
                  </to>
                </anchor>
              </controlPr>
            </control>
          </mc:Choice>
        </mc:AlternateContent>
        <mc:AlternateContent xmlns:mc="http://schemas.openxmlformats.org/markup-compatibility/2006">
          <mc:Choice Requires="x14">
            <control shapeId="1035" r:id="rId9" name="Drop Down 11">
              <controlPr defaultSize="0" autoLine="0" autoPict="0">
                <anchor moveWithCells="1">
                  <from>
                    <xdr:col>2</xdr:col>
                    <xdr:colOff>901700</xdr:colOff>
                    <xdr:row>28</xdr:row>
                    <xdr:rowOff>38100</xdr:rowOff>
                  </from>
                  <to>
                    <xdr:col>4</xdr:col>
                    <xdr:colOff>698500</xdr:colOff>
                    <xdr:row>28</xdr:row>
                    <xdr:rowOff>215900</xdr:rowOff>
                  </to>
                </anchor>
              </controlPr>
            </control>
          </mc:Choice>
        </mc:AlternateContent>
        <mc:AlternateContent xmlns:mc="http://schemas.openxmlformats.org/markup-compatibility/2006">
          <mc:Choice Requires="x14">
            <control shapeId="1036" r:id="rId10" name="Drop Down 12">
              <controlPr defaultSize="0" autoLine="0" autoPict="0">
                <anchor moveWithCells="1">
                  <from>
                    <xdr:col>2</xdr:col>
                    <xdr:colOff>901700</xdr:colOff>
                    <xdr:row>32</xdr:row>
                    <xdr:rowOff>25400</xdr:rowOff>
                  </from>
                  <to>
                    <xdr:col>4</xdr:col>
                    <xdr:colOff>698500</xdr:colOff>
                    <xdr:row>32</xdr:row>
                    <xdr:rowOff>215900</xdr:rowOff>
                  </to>
                </anchor>
              </controlPr>
            </control>
          </mc:Choice>
        </mc:AlternateContent>
        <mc:AlternateContent xmlns:mc="http://schemas.openxmlformats.org/markup-compatibility/2006">
          <mc:Choice Requires="x14">
            <control shapeId="1037" r:id="rId11" name="Button 13">
              <controlPr defaultSize="0" print="0" autoFill="0" autoPict="0" macro="[0]!SET_NOMINAL_options">
                <anchor moveWithCells="1" sizeWithCells="1">
                  <from>
                    <xdr:col>4</xdr:col>
                    <xdr:colOff>139700</xdr:colOff>
                    <xdr:row>20</xdr:row>
                    <xdr:rowOff>38100</xdr:rowOff>
                  </from>
                  <to>
                    <xdr:col>5</xdr:col>
                    <xdr:colOff>571500</xdr:colOff>
                    <xdr:row>20</xdr:row>
                    <xdr:rowOff>203200</xdr:rowOff>
                  </to>
                </anchor>
              </controlPr>
            </control>
          </mc:Choice>
        </mc:AlternateContent>
        <mc:AlternateContent xmlns:mc="http://schemas.openxmlformats.org/markup-compatibility/2006">
          <mc:Choice Requires="x14">
            <control shapeId="1038" r:id="rId12" name="Drop Down 14">
              <controlPr defaultSize="0" autoLine="0" autoPict="0">
                <anchor moveWithCells="1">
                  <from>
                    <xdr:col>2</xdr:col>
                    <xdr:colOff>901700</xdr:colOff>
                    <xdr:row>34</xdr:row>
                    <xdr:rowOff>25400</xdr:rowOff>
                  </from>
                  <to>
                    <xdr:col>4</xdr:col>
                    <xdr:colOff>698500</xdr:colOff>
                    <xdr:row>34</xdr:row>
                    <xdr:rowOff>215900</xdr:rowOff>
                  </to>
                </anchor>
              </controlPr>
            </control>
          </mc:Choice>
        </mc:AlternateContent>
        <mc:AlternateContent xmlns:mc="http://schemas.openxmlformats.org/markup-compatibility/2006">
          <mc:Choice Requires="x14">
            <control shapeId="1039" r:id="rId13" name="Drop Down 15">
              <controlPr defaultSize="0" autoLine="0" autoPict="0">
                <anchor moveWithCells="1">
                  <from>
                    <xdr:col>1</xdr:col>
                    <xdr:colOff>63500</xdr:colOff>
                    <xdr:row>14</xdr:row>
                    <xdr:rowOff>38100</xdr:rowOff>
                  </from>
                  <to>
                    <xdr:col>3</xdr:col>
                    <xdr:colOff>863600</xdr:colOff>
                    <xdr:row>15</xdr:row>
                    <xdr:rowOff>114300</xdr:rowOff>
                  </to>
                </anchor>
              </controlPr>
            </control>
          </mc:Choice>
        </mc:AlternateContent>
        <mc:AlternateContent xmlns:mc="http://schemas.openxmlformats.org/markup-compatibility/2006">
          <mc:Choice Requires="x14">
            <control shapeId="1040" r:id="rId14" name="Drop Down 16">
              <controlPr defaultSize="0" autoLine="0" autoPict="0">
                <anchor moveWithCells="1">
                  <from>
                    <xdr:col>2</xdr:col>
                    <xdr:colOff>50800</xdr:colOff>
                    <xdr:row>36</xdr:row>
                    <xdr:rowOff>25400</xdr:rowOff>
                  </from>
                  <to>
                    <xdr:col>3</xdr:col>
                    <xdr:colOff>749300</xdr:colOff>
                    <xdr:row>36</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K42"/>
  <sheetViews>
    <sheetView zoomScale="90" zoomScaleNormal="90" workbookViewId="0">
      <selection activeCell="H35" sqref="H35"/>
    </sheetView>
  </sheetViews>
  <sheetFormatPr baseColWidth="10" defaultColWidth="8.83203125" defaultRowHeight="13"/>
  <cols>
    <col min="1" max="1" width="2.1640625" customWidth="1"/>
    <col min="2" max="2" width="22.6640625" style="13" customWidth="1"/>
    <col min="4" max="4" width="17.6640625" customWidth="1"/>
    <col min="5" max="5" width="10" style="1" customWidth="1"/>
    <col min="6" max="6" width="1.83203125" customWidth="1"/>
    <col min="7" max="7" width="22.33203125" style="1" customWidth="1"/>
    <col min="8" max="8" width="21" style="1" customWidth="1"/>
    <col min="9" max="9" width="1.33203125" customWidth="1"/>
    <col min="10" max="10" width="18.6640625" style="1" customWidth="1"/>
  </cols>
  <sheetData>
    <row r="1" spans="2:10" ht="20.25" customHeight="1"/>
    <row r="2" spans="2:10" s="3" customFormat="1" ht="25" customHeight="1">
      <c r="B2" s="10"/>
      <c r="E2" s="4"/>
      <c r="G2" s="1460" t="s">
        <v>211</v>
      </c>
      <c r="H2" s="1460"/>
      <c r="J2" s="4"/>
    </row>
    <row r="3" spans="2:10" s="14" customFormat="1" ht="19.25" customHeight="1">
      <c r="B3" s="10"/>
      <c r="C3" s="3"/>
      <c r="D3" s="3"/>
      <c r="E3" s="4"/>
      <c r="G3" s="15" t="s">
        <v>845</v>
      </c>
      <c r="H3" s="15" t="s">
        <v>10</v>
      </c>
      <c r="J3" s="15"/>
    </row>
    <row r="4" spans="2:10" s="14" customFormat="1" ht="17.25" customHeight="1">
      <c r="C4" s="1461" t="str">
        <f>CONCATENATE("Expected in ",year_comp1)</f>
        <v>Expected in 2023</v>
      </c>
      <c r="D4" s="1461"/>
      <c r="E4" s="388"/>
      <c r="F4" s="388"/>
      <c r="G4" s="825">
        <f ca="1">OFFSET('TCO Solar Farm-Containers'!$F$28,0,0)</f>
        <v>143.01822857142858</v>
      </c>
      <c r="H4" s="389">
        <f>'AZA CyclesNbr'!L15</f>
        <v>1036.1396771278826</v>
      </c>
      <c r="J4" s="1462" t="str">
        <f>CONCATENATE("Zinc-Air vs Li-ion ",year_comp1)</f>
        <v>Zinc-Air vs Li-ion 2023</v>
      </c>
    </row>
    <row r="5" spans="2:10" s="14" customFormat="1" ht="15" customHeight="1">
      <c r="C5" s="1461"/>
      <c r="D5" s="1461"/>
      <c r="E5" s="388"/>
      <c r="F5" s="388"/>
      <c r="G5" s="826">
        <f ca="1">OFFSET('TCO Solar Farm-Containers'!$F$40,0,0)</f>
        <v>3500</v>
      </c>
      <c r="H5" s="390" t="s">
        <v>229</v>
      </c>
      <c r="J5" s="1462"/>
    </row>
    <row r="6" spans="2:10">
      <c r="C6" s="11" t="str">
        <f ca="1">'TCO Solar Farm-Containers'!S23</f>
        <v>Best Location 
(Chile, Emirates…)</v>
      </c>
      <c r="E6" s="14"/>
      <c r="G6" s="362">
        <v>8.3170187775601645E-2</v>
      </c>
      <c r="H6" s="362">
        <v>7.5608665566700275E-2</v>
      </c>
      <c r="J6" s="160">
        <f>(H6-G6)/G6</f>
        <v>-9.0916257509275178E-2</v>
      </c>
    </row>
    <row r="7" spans="2:10">
      <c r="C7" s="11" t="str">
        <f ca="1">'TCO Solar Farm-Containers'!S24</f>
        <v>North Africa 
(Tanger, Rabat…)</v>
      </c>
      <c r="E7" s="14"/>
      <c r="G7" s="362">
        <v>8.5890797073307282E-2</v>
      </c>
      <c r="H7" s="362">
        <v>7.9156159228145812E-2</v>
      </c>
      <c r="J7" s="160">
        <f>(H7-G7)/G7</f>
        <v>-7.8409306638678608E-2</v>
      </c>
    </row>
    <row r="8" spans="2:10">
      <c r="C8" s="11" t="str">
        <f ca="1">'TCO Solar Farm-Containers'!S25</f>
        <v>California</v>
      </c>
      <c r="E8" s="14"/>
      <c r="G8" s="362">
        <v>8.929155869543931E-2</v>
      </c>
      <c r="H8" s="362">
        <v>8.35905263049527E-2</v>
      </c>
      <c r="J8" s="160">
        <f>(H8-G8)/G8</f>
        <v>-6.3847383490437351E-2</v>
      </c>
    </row>
    <row r="9" spans="2:10">
      <c r="C9" s="11" t="str">
        <f ca="1">'TCO Solar Farm-Containers'!S26</f>
        <v xml:space="preserve">Spain, Portugal, </v>
      </c>
      <c r="E9" s="14"/>
      <c r="G9" s="362">
        <v>8.929155869543931E-2</v>
      </c>
      <c r="H9" s="362">
        <v>8.35905263049527E-2</v>
      </c>
      <c r="J9" s="160">
        <f>(H9-G9)/G9</f>
        <v>-6.3847383490437351E-2</v>
      </c>
    </row>
    <row r="10" spans="2:10">
      <c r="C10" s="11" t="str">
        <f ca="1">'TCO Solar Farm-Containers'!S27</f>
        <v>Germany, UK…</v>
      </c>
      <c r="E10" s="14"/>
      <c r="G10" s="362">
        <v>0.10765567145495229</v>
      </c>
      <c r="H10" s="362">
        <v>0.10753610851970996</v>
      </c>
      <c r="J10" s="160">
        <f>(H10-G10)/G10</f>
        <v>-1.1106050765970267E-3</v>
      </c>
    </row>
    <row r="11" spans="2:10">
      <c r="E11" s="14"/>
    </row>
    <row r="12" spans="2:10" s="14" customFormat="1" ht="12.75" customHeight="1">
      <c r="C12" s="1461" t="str">
        <f>CONCATENATE("Expected in ",year_comp2)</f>
        <v>Expected in 2028</v>
      </c>
      <c r="D12" s="1461"/>
      <c r="E12" s="388"/>
      <c r="F12" s="388"/>
      <c r="G12" s="825">
        <f ca="1">OFFSET('TCO Solar Farm-Containers'!$F$28,0,1)</f>
        <v>116.33821482116778</v>
      </c>
      <c r="H12" s="389">
        <f>'AZA CyclesNbr'!Q15</f>
        <v>2550.4976667763267</v>
      </c>
      <c r="J12" s="1462" t="str">
        <f>CONCATENATE("Zinc-Air vs Li-ion ",year_comp2)</f>
        <v>Zinc-Air vs Li-ion 2028</v>
      </c>
    </row>
    <row r="13" spans="2:10" s="14" customFormat="1" ht="15" customHeight="1">
      <c r="C13" s="1461"/>
      <c r="D13" s="1461"/>
      <c r="E13" s="388"/>
      <c r="F13" s="388"/>
      <c r="G13" s="826">
        <f ca="1">OFFSET('TCO Solar Farm-Containers'!$F$40,0,1)</f>
        <v>3500</v>
      </c>
      <c r="H13" s="390" t="s">
        <v>229</v>
      </c>
      <c r="J13" s="1462"/>
    </row>
    <row r="14" spans="2:10">
      <c r="C14" s="11" t="str">
        <f ca="1">C6</f>
        <v>Best Location 
(Chile, Emirates…)</v>
      </c>
      <c r="E14" s="14"/>
      <c r="G14" s="362">
        <v>6.8084356403403351E-2</v>
      </c>
      <c r="H14" s="362">
        <v>4.3804691965096412E-2</v>
      </c>
      <c r="J14" s="160">
        <f>(H14-G14)/G14</f>
        <v>-0.35661149962920508</v>
      </c>
    </row>
    <row r="15" spans="2:10">
      <c r="C15" s="11" t="str">
        <f ca="1">C7</f>
        <v>North Africa 
(Tanger, Rabat…)</v>
      </c>
      <c r="E15" s="14"/>
      <c r="G15" s="362">
        <v>7.0371267863183984E-2</v>
      </c>
      <c r="H15" s="362">
        <v>4.6786672477586999E-2</v>
      </c>
      <c r="J15" s="160">
        <f>(H15-G15)/G15</f>
        <v>-0.33514523898375997</v>
      </c>
    </row>
    <row r="16" spans="2:10">
      <c r="C16" s="11" t="str">
        <f ca="1">C8</f>
        <v>California</v>
      </c>
      <c r="E16" s="14"/>
      <c r="G16" s="362">
        <v>7.322990718790974E-2</v>
      </c>
      <c r="H16" s="362">
        <v>5.0514148118200222E-2</v>
      </c>
      <c r="J16" s="160">
        <f>(H16-G16)/G16</f>
        <v>-0.31019784050006127</v>
      </c>
    </row>
    <row r="17" spans="1:11">
      <c r="C17" s="11" t="str">
        <f ca="1">C9</f>
        <v xml:space="preserve">Spain, Portugal, </v>
      </c>
      <c r="E17" s="14"/>
      <c r="G17" s="362">
        <v>7.322990718790974E-2</v>
      </c>
      <c r="H17" s="362">
        <v>5.0514148118200222E-2</v>
      </c>
      <c r="J17" s="160">
        <f>(H17-G17)/G17</f>
        <v>-0.31019784050006127</v>
      </c>
    </row>
    <row r="18" spans="1:11">
      <c r="C18" s="11" t="str">
        <f ca="1">C10</f>
        <v>Germany, UK…</v>
      </c>
      <c r="E18" s="14"/>
      <c r="G18" s="362">
        <v>8.8666559541428949E-2</v>
      </c>
      <c r="H18" s="362">
        <v>7.0642516577511694E-2</v>
      </c>
      <c r="J18" s="160">
        <f>(H18-G18)/G18</f>
        <v>-0.20327892564158445</v>
      </c>
    </row>
    <row r="19" spans="1:11">
      <c r="E19" s="14"/>
    </row>
    <row r="20" spans="1:11">
      <c r="E20" s="14"/>
    </row>
    <row r="21" spans="1:11" s="16" customFormat="1">
      <c r="B21" s="382" t="s">
        <v>603</v>
      </c>
      <c r="E21" s="17"/>
      <c r="G21" s="1"/>
      <c r="H21" s="1"/>
      <c r="J21" s="17"/>
    </row>
    <row r="22" spans="1:11">
      <c r="B22" s="969" t="str">
        <f>'TCO Solar Farm-Containers'!B128</f>
        <v>06-Jan-2021 rev. b</v>
      </c>
      <c r="C22" s="969"/>
      <c r="D22" s="969"/>
      <c r="E22" s="969"/>
    </row>
    <row r="24" spans="1:11" s="193" customFormat="1" ht="17.25" customHeight="1">
      <c r="B24" s="193" t="s">
        <v>660</v>
      </c>
      <c r="D24" s="953"/>
      <c r="E24" s="953"/>
      <c r="H24" s="912"/>
    </row>
    <row r="25" spans="1:11" s="79" customFormat="1" ht="3.75" customHeight="1">
      <c r="H25" s="911"/>
    </row>
    <row r="26" spans="1:11" s="79" customFormat="1" ht="18" customHeight="1">
      <c r="A26" s="955" t="s">
        <v>664</v>
      </c>
      <c r="B26" s="895" t="str">
        <f ca="1">INDIRECT(H26,TRUE)</f>
        <v>AZA Perfs (Costs &amp; SceLife)</v>
      </c>
      <c r="C26" s="893"/>
      <c r="D26" s="893"/>
      <c r="E26" s="896">
        <f ca="1">OFFSET(INDIRECT(H26,TRUE),1,0)</f>
        <v>1</v>
      </c>
      <c r="H26" s="955" t="str">
        <f>CONCATENATE("'DropDown menus'!",A26,3)</f>
        <v>'DropDown menus'!L3</v>
      </c>
      <c r="I26" s="955"/>
      <c r="J26" s="955"/>
      <c r="K26" s="955"/>
    </row>
    <row r="27" spans="1:11" s="79" customFormat="1" ht="3.75" customHeight="1">
      <c r="A27" s="955"/>
      <c r="H27" s="955"/>
      <c r="I27" s="955"/>
      <c r="J27" s="955"/>
      <c r="K27" s="955"/>
    </row>
    <row r="28" spans="1:11" s="79" customFormat="1" ht="18" customHeight="1">
      <c r="A28" s="955" t="s">
        <v>667</v>
      </c>
      <c r="B28" s="895" t="str">
        <f ca="1">INDIRECT(H28,TRUE)</f>
        <v>AZA ZAB energy eff.</v>
      </c>
      <c r="C28" s="893"/>
      <c r="D28" s="893"/>
      <c r="E28" s="896">
        <f ca="1">OFFSET(INDIRECT(H28,TRUE),1,0)</f>
        <v>0.55000000000000004</v>
      </c>
      <c r="H28" s="955" t="str">
        <f>CONCATENATE("'DropDown menus'!",A28,3)</f>
        <v>'DropDown menus'!AI3</v>
      </c>
      <c r="I28" s="955"/>
      <c r="J28" s="955"/>
      <c r="K28" s="955"/>
    </row>
    <row r="29" spans="1:11" s="79" customFormat="1" ht="3.75" customHeight="1">
      <c r="A29" s="955"/>
      <c r="H29" s="955"/>
      <c r="I29" s="955"/>
      <c r="J29" s="955"/>
      <c r="K29" s="955"/>
    </row>
    <row r="30" spans="1:11" s="79" customFormat="1" ht="18" customHeight="1">
      <c r="A30" s="955" t="s">
        <v>665</v>
      </c>
      <c r="B30" s="895" t="str">
        <f ca="1">INDIRECT(H30,TRUE)</f>
        <v>Li-ion 2020 performance</v>
      </c>
      <c r="C30" s="893"/>
      <c r="D30" s="893"/>
      <c r="E30" s="896">
        <f ca="1">OFFSET(INDIRECT(H30,TRUE),1,0)</f>
        <v>1</v>
      </c>
      <c r="G30" s="702" t="s">
        <v>702</v>
      </c>
      <c r="H30" s="955" t="str">
        <f>CONCATENATE("'DropDown menus'!",A30,3)</f>
        <v>'DropDown menus'!O3</v>
      </c>
      <c r="I30" s="955"/>
      <c r="J30" s="955"/>
      <c r="K30" s="955"/>
    </row>
    <row r="31" spans="1:11" s="79" customFormat="1" ht="3.75" customHeight="1">
      <c r="A31" s="955"/>
      <c r="H31" s="955"/>
      <c r="I31" s="955"/>
      <c r="J31" s="955"/>
      <c r="K31" s="955"/>
    </row>
    <row r="32" spans="1:11" s="79" customFormat="1" ht="18" customHeight="1">
      <c r="A32" s="955" t="s">
        <v>662</v>
      </c>
      <c r="B32" s="895" t="str">
        <f ca="1">INDIRECT(H32,TRUE)</f>
        <v>Inflation Rate</v>
      </c>
      <c r="C32" s="894"/>
      <c r="D32" s="893"/>
      <c r="E32" s="897">
        <f ca="1">OFFSET(INDIRECT(H32,TRUE),1,0)</f>
        <v>0.02</v>
      </c>
      <c r="H32" s="955" t="str">
        <f>CONCATENATE("'DropDown menus'!",A32,3)</f>
        <v>'DropDown menus'!F3</v>
      </c>
      <c r="I32" s="955"/>
      <c r="J32" s="955"/>
      <c r="K32" s="955"/>
    </row>
    <row r="33" spans="1:11" s="79" customFormat="1" ht="3.75" customHeight="1">
      <c r="A33" s="955"/>
      <c r="E33" s="898"/>
      <c r="H33" s="955"/>
      <c r="I33" s="955"/>
      <c r="J33" s="955"/>
      <c r="K33" s="955"/>
    </row>
    <row r="34" spans="1:11" s="79" customFormat="1" ht="18" customHeight="1">
      <c r="A34" s="955" t="s">
        <v>663</v>
      </c>
      <c r="B34" s="895" t="str">
        <f ca="1">INDIRECT(H34,TRUE)</f>
        <v>WACC nominal</v>
      </c>
      <c r="C34" s="893"/>
      <c r="D34" s="893"/>
      <c r="E34" s="897">
        <f ca="1">OFFSET(INDIRECT(H34,TRUE),1,0)</f>
        <v>0.04</v>
      </c>
      <c r="H34" s="955" t="str">
        <f>CONCATENATE("'DropDown menus'!",A34,3)</f>
        <v>'DropDown menus'!I3</v>
      </c>
      <c r="I34" s="955"/>
      <c r="J34" s="955"/>
      <c r="K34" s="955"/>
    </row>
    <row r="35" spans="1:11" s="79" customFormat="1" ht="3.75" customHeight="1">
      <c r="A35" s="955"/>
      <c r="E35" s="898"/>
      <c r="H35" s="955"/>
      <c r="I35" s="955"/>
      <c r="J35" s="955"/>
      <c r="K35" s="955"/>
    </row>
    <row r="36" spans="1:11" s="79" customFormat="1" ht="18" customHeight="1">
      <c r="A36" s="955" t="s">
        <v>666</v>
      </c>
      <c r="B36" s="895" t="str">
        <f ca="1">INDIRECT(H36,TRUE)</f>
        <v>PV OPEX/CAPEX</v>
      </c>
      <c r="C36" s="893"/>
      <c r="D36" s="893"/>
      <c r="E36" s="897">
        <f ca="1">OFFSET(INDIRECT(H36,TRUE),1,0)</f>
        <v>0.02</v>
      </c>
      <c r="H36" s="955" t="str">
        <f>CONCATENATE("'DropDown menus'!",A36,3)</f>
        <v>'DropDown menus'!AF3</v>
      </c>
      <c r="I36" s="955"/>
      <c r="J36" s="955"/>
      <c r="K36" s="955"/>
    </row>
    <row r="37" spans="1:11" s="79" customFormat="1" ht="3.75" customHeight="1">
      <c r="A37" s="955"/>
      <c r="H37" s="955"/>
      <c r="I37" s="955"/>
      <c r="J37" s="955"/>
      <c r="K37" s="955"/>
    </row>
    <row r="38" spans="1:11" s="79" customFormat="1" ht="18" customHeight="1">
      <c r="A38" s="955" t="s">
        <v>275</v>
      </c>
      <c r="B38" s="895" t="str">
        <f ca="1">INDIRECT(H38,TRUE)</f>
        <v>EUR2USD yearly progress</v>
      </c>
      <c r="C38" s="893"/>
      <c r="D38" s="893"/>
      <c r="E38" s="897">
        <f ca="1">OFFSET(INDIRECT(H38,TRUE),1,0)</f>
        <v>0</v>
      </c>
      <c r="H38" s="955" t="str">
        <f>CONCATENATE("'DropDown menus'!",A38,3)</f>
        <v>'DropDown menus'!C3</v>
      </c>
      <c r="I38" s="955"/>
      <c r="J38" s="955"/>
      <c r="K38" s="955"/>
    </row>
    <row r="39" spans="1:11" s="79" customFormat="1" ht="3.75" customHeight="1">
      <c r="A39" s="911"/>
      <c r="E39" s="898"/>
      <c r="H39" s="911"/>
    </row>
    <row r="40" spans="1:11" s="79" customFormat="1" ht="18" customHeight="1">
      <c r="A40" s="955" t="s">
        <v>685</v>
      </c>
      <c r="B40" s="895" t="str">
        <f ca="1">INDIRECT(G40,TRUE)</f>
        <v>PV Balance of System</v>
      </c>
      <c r="C40" s="893"/>
      <c r="D40" s="893"/>
      <c r="E40" s="966">
        <f ca="1">OFFSET(INDIRECT(G40,TRUE),1,0)</f>
        <v>125</v>
      </c>
      <c r="G40" s="955" t="str">
        <f>CONCATENATE("'DropDown menus'!",A40,3)</f>
        <v>'DropDown menus'!AO3</v>
      </c>
      <c r="H40" s="955"/>
      <c r="I40" s="955"/>
      <c r="J40" s="955"/>
    </row>
    <row r="41" spans="1:11" s="79" customFormat="1" ht="3.75" customHeight="1">
      <c r="A41" s="911"/>
      <c r="E41" s="898"/>
      <c r="H41" s="911"/>
    </row>
    <row r="42" spans="1:11" s="79" customFormat="1" ht="18" customHeight="1">
      <c r="A42" s="955" t="s">
        <v>685</v>
      </c>
      <c r="B42" s="895" t="s">
        <v>839</v>
      </c>
      <c r="C42" s="893"/>
      <c r="D42" s="1231" t="s">
        <v>842</v>
      </c>
      <c r="E42" s="1231"/>
    </row>
  </sheetData>
  <mergeCells count="5">
    <mergeCell ref="G2:H2"/>
    <mergeCell ref="C4:D5"/>
    <mergeCell ref="C12:D13"/>
    <mergeCell ref="J12:J13"/>
    <mergeCell ref="J4:J5"/>
  </mergeCells>
  <pageMargins left="0.39374999999999999" right="0.39374999999999999" top="0.39374999999999999" bottom="0.65902777777777799" header="0.51180555555555496" footer="0.39374999999999999"/>
  <pageSetup paperSize="9" scale="90" firstPageNumber="0" orientation="landscape" r:id="rId1"/>
  <headerFoot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LCOSE_copy_vals">
                <anchor moveWithCells="1" sizeWithCells="1">
                  <from>
                    <xdr:col>6</xdr:col>
                    <xdr:colOff>762000</xdr:colOff>
                    <xdr:row>20</xdr:row>
                    <xdr:rowOff>88900</xdr:rowOff>
                  </from>
                  <to>
                    <xdr:col>7</xdr:col>
                    <xdr:colOff>647700</xdr:colOff>
                    <xdr:row>22</xdr:row>
                    <xdr:rowOff>50800</xdr:rowOff>
                  </to>
                </anchor>
              </controlPr>
            </control>
          </mc:Choice>
        </mc:AlternateContent>
        <mc:AlternateContent xmlns:mc="http://schemas.openxmlformats.org/markup-compatibility/2006">
          <mc:Choice Requires="x14">
            <control shapeId="36866" r:id="rId5" name="Button 2">
              <controlPr defaultSize="0" print="0" autoFill="0" autoPict="0" macro="[0]!SET_NOMINAL_options">
                <anchor moveWithCells="1" sizeWithCells="1">
                  <from>
                    <xdr:col>3</xdr:col>
                    <xdr:colOff>114300</xdr:colOff>
                    <xdr:row>23</xdr:row>
                    <xdr:rowOff>38100</xdr:rowOff>
                  </from>
                  <to>
                    <xdr:col>5</xdr:col>
                    <xdr:colOff>0</xdr:colOff>
                    <xdr:row>23</xdr:row>
                    <xdr:rowOff>203200</xdr:rowOff>
                  </to>
                </anchor>
              </controlPr>
            </control>
          </mc:Choice>
        </mc:AlternateContent>
        <mc:AlternateContent xmlns:mc="http://schemas.openxmlformats.org/markup-compatibility/2006">
          <mc:Choice Requires="x14">
            <control shapeId="36874" r:id="rId6" name="Drop Down 10">
              <controlPr defaultSize="0" autoLine="0" autoPict="0">
                <anchor moveWithCells="1">
                  <from>
                    <xdr:col>2</xdr:col>
                    <xdr:colOff>25400</xdr:colOff>
                    <xdr:row>35</xdr:row>
                    <xdr:rowOff>25400</xdr:rowOff>
                  </from>
                  <to>
                    <xdr:col>3</xdr:col>
                    <xdr:colOff>1092200</xdr:colOff>
                    <xdr:row>35</xdr:row>
                    <xdr:rowOff>203200</xdr:rowOff>
                  </to>
                </anchor>
              </controlPr>
            </control>
          </mc:Choice>
        </mc:AlternateContent>
        <mc:AlternateContent xmlns:mc="http://schemas.openxmlformats.org/markup-compatibility/2006">
          <mc:Choice Requires="x14">
            <control shapeId="36875" r:id="rId7" name="Drop Down 11">
              <controlPr defaultSize="0" autoLine="0" autoPict="0">
                <anchor moveWithCells="1">
                  <from>
                    <xdr:col>2</xdr:col>
                    <xdr:colOff>25400</xdr:colOff>
                    <xdr:row>27</xdr:row>
                    <xdr:rowOff>25400</xdr:rowOff>
                  </from>
                  <to>
                    <xdr:col>3</xdr:col>
                    <xdr:colOff>1092200</xdr:colOff>
                    <xdr:row>27</xdr:row>
                    <xdr:rowOff>203200</xdr:rowOff>
                  </to>
                </anchor>
              </controlPr>
            </control>
          </mc:Choice>
        </mc:AlternateContent>
        <mc:AlternateContent xmlns:mc="http://schemas.openxmlformats.org/markup-compatibility/2006">
          <mc:Choice Requires="x14">
            <control shapeId="36876" r:id="rId8" name="Drop Down 12">
              <controlPr defaultSize="0" autoLine="0" autoPict="0">
                <anchor moveWithCells="1">
                  <from>
                    <xdr:col>2</xdr:col>
                    <xdr:colOff>25400</xdr:colOff>
                    <xdr:row>29</xdr:row>
                    <xdr:rowOff>25400</xdr:rowOff>
                  </from>
                  <to>
                    <xdr:col>3</xdr:col>
                    <xdr:colOff>1092200</xdr:colOff>
                    <xdr:row>29</xdr:row>
                    <xdr:rowOff>215900</xdr:rowOff>
                  </to>
                </anchor>
              </controlPr>
            </control>
          </mc:Choice>
        </mc:AlternateContent>
        <mc:AlternateContent xmlns:mc="http://schemas.openxmlformats.org/markup-compatibility/2006">
          <mc:Choice Requires="x14">
            <control shapeId="36877" r:id="rId9" name="Drop Down 13">
              <controlPr defaultSize="0" autoLine="0" autoPict="0">
                <anchor moveWithCells="1">
                  <from>
                    <xdr:col>2</xdr:col>
                    <xdr:colOff>25400</xdr:colOff>
                    <xdr:row>25</xdr:row>
                    <xdr:rowOff>25400</xdr:rowOff>
                  </from>
                  <to>
                    <xdr:col>3</xdr:col>
                    <xdr:colOff>1092200</xdr:colOff>
                    <xdr:row>25</xdr:row>
                    <xdr:rowOff>190500</xdr:rowOff>
                  </to>
                </anchor>
              </controlPr>
            </control>
          </mc:Choice>
        </mc:AlternateContent>
        <mc:AlternateContent xmlns:mc="http://schemas.openxmlformats.org/markup-compatibility/2006">
          <mc:Choice Requires="x14">
            <control shapeId="36878" r:id="rId10" name="Drop Down 14">
              <controlPr defaultSize="0" autoLine="0" autoPict="0">
                <anchor moveWithCells="1">
                  <from>
                    <xdr:col>2</xdr:col>
                    <xdr:colOff>25400</xdr:colOff>
                    <xdr:row>31</xdr:row>
                    <xdr:rowOff>25400</xdr:rowOff>
                  </from>
                  <to>
                    <xdr:col>3</xdr:col>
                    <xdr:colOff>1092200</xdr:colOff>
                    <xdr:row>31</xdr:row>
                    <xdr:rowOff>203200</xdr:rowOff>
                  </to>
                </anchor>
              </controlPr>
            </control>
          </mc:Choice>
        </mc:AlternateContent>
        <mc:AlternateContent xmlns:mc="http://schemas.openxmlformats.org/markup-compatibility/2006">
          <mc:Choice Requires="x14">
            <control shapeId="36879" r:id="rId11" name="Drop Down 15">
              <controlPr defaultSize="0" autoLine="0" autoPict="0">
                <anchor moveWithCells="1">
                  <from>
                    <xdr:col>2</xdr:col>
                    <xdr:colOff>25400</xdr:colOff>
                    <xdr:row>33</xdr:row>
                    <xdr:rowOff>38100</xdr:rowOff>
                  </from>
                  <to>
                    <xdr:col>3</xdr:col>
                    <xdr:colOff>1092200</xdr:colOff>
                    <xdr:row>33</xdr:row>
                    <xdr:rowOff>215900</xdr:rowOff>
                  </to>
                </anchor>
              </controlPr>
            </control>
          </mc:Choice>
        </mc:AlternateContent>
        <mc:AlternateContent xmlns:mc="http://schemas.openxmlformats.org/markup-compatibility/2006">
          <mc:Choice Requires="x14">
            <control shapeId="36880" r:id="rId12" name="Drop Down 16">
              <controlPr defaultSize="0" autoLine="0" autoPict="0">
                <anchor moveWithCells="1">
                  <from>
                    <xdr:col>2</xdr:col>
                    <xdr:colOff>25400</xdr:colOff>
                    <xdr:row>37</xdr:row>
                    <xdr:rowOff>25400</xdr:rowOff>
                  </from>
                  <to>
                    <xdr:col>3</xdr:col>
                    <xdr:colOff>1092200</xdr:colOff>
                    <xdr:row>37</xdr:row>
                    <xdr:rowOff>203200</xdr:rowOff>
                  </to>
                </anchor>
              </controlPr>
            </control>
          </mc:Choice>
        </mc:AlternateContent>
        <mc:AlternateContent xmlns:mc="http://schemas.openxmlformats.org/markup-compatibility/2006">
          <mc:Choice Requires="x14">
            <control shapeId="36881" r:id="rId13" name="Drop Down 17">
              <controlPr defaultSize="0" autoLine="0" autoPict="0">
                <anchor moveWithCells="1">
                  <from>
                    <xdr:col>2</xdr:col>
                    <xdr:colOff>38100</xdr:colOff>
                    <xdr:row>39</xdr:row>
                    <xdr:rowOff>25400</xdr:rowOff>
                  </from>
                  <to>
                    <xdr:col>3</xdr:col>
                    <xdr:colOff>1066800</xdr:colOff>
                    <xdr:row>39</xdr:row>
                    <xdr:rowOff>228600</xdr:rowOff>
                  </to>
                </anchor>
              </controlPr>
            </control>
          </mc:Choice>
        </mc:AlternateContent>
        <mc:AlternateContent xmlns:mc="http://schemas.openxmlformats.org/markup-compatibility/2006">
          <mc:Choice Requires="x14">
            <control shapeId="36882" r:id="rId14" name="Drop Down 18">
              <controlPr defaultSize="0" autoLine="0" autoPict="0">
                <anchor moveWithCells="1">
                  <from>
                    <xdr:col>1</xdr:col>
                    <xdr:colOff>723900</xdr:colOff>
                    <xdr:row>41</xdr:row>
                    <xdr:rowOff>25400</xdr:rowOff>
                  </from>
                  <to>
                    <xdr:col>3</xdr:col>
                    <xdr:colOff>0</xdr:colOff>
                    <xdr:row>42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3:U51"/>
  <sheetViews>
    <sheetView zoomScale="80" zoomScaleNormal="80" workbookViewId="0">
      <selection activeCell="H35" sqref="H35"/>
    </sheetView>
  </sheetViews>
  <sheetFormatPr baseColWidth="10" defaultColWidth="8.83203125" defaultRowHeight="13"/>
  <cols>
    <col min="1" max="1" width="8.6640625" customWidth="1"/>
    <col min="2" max="2" width="30.83203125" customWidth="1"/>
    <col min="3" max="3" width="18" customWidth="1"/>
    <col min="4" max="4" width="8.6640625" customWidth="1"/>
    <col min="5" max="5" width="11" customWidth="1"/>
    <col min="6" max="6" width="1.83203125" customWidth="1"/>
    <col min="7" max="9" width="2.33203125" customWidth="1"/>
    <col min="10" max="10" width="2.1640625" customWidth="1"/>
    <col min="11" max="11" width="7.5" customWidth="1"/>
    <col min="12" max="12" width="2.5" customWidth="1"/>
    <col min="13" max="13" width="9.33203125" customWidth="1"/>
    <col min="14" max="19" width="8.33203125" customWidth="1"/>
    <col min="20" max="20" width="2.33203125" customWidth="1"/>
    <col min="21" max="21" width="12.33203125" customWidth="1"/>
  </cols>
  <sheetData>
    <row r="3" spans="11:19">
      <c r="N3" s="1463" t="s">
        <v>245</v>
      </c>
      <c r="O3" s="1463"/>
      <c r="P3" s="1463"/>
      <c r="Q3" s="1463"/>
      <c r="R3" s="1463"/>
      <c r="S3" s="1463"/>
    </row>
    <row r="4" spans="11:19">
      <c r="N4" s="1463"/>
      <c r="O4" s="1463"/>
      <c r="P4" s="1463"/>
      <c r="Q4" s="1463"/>
      <c r="R4" s="1463"/>
      <c r="S4" s="1463"/>
    </row>
    <row r="5" spans="11:19" ht="12.75" customHeight="1">
      <c r="N5" s="1464" t="s">
        <v>42</v>
      </c>
      <c r="O5" s="1464"/>
      <c r="P5" s="1464"/>
      <c r="Q5" s="1464"/>
      <c r="R5" s="1464"/>
      <c r="S5" s="1464"/>
    </row>
    <row r="6" spans="11:19" ht="14">
      <c r="N6" s="1465"/>
      <c r="O6" s="1466"/>
      <c r="P6" s="1466"/>
      <c r="Q6" s="1466"/>
      <c r="R6" s="1466"/>
      <c r="S6" s="1467"/>
    </row>
    <row r="7" spans="11:19" ht="12.75" customHeight="1">
      <c r="N7" s="1468" t="s">
        <v>244</v>
      </c>
      <c r="O7" s="1468"/>
      <c r="P7" s="1469" t="s">
        <v>45</v>
      </c>
      <c r="Q7" s="1469"/>
      <c r="R7" s="1469"/>
      <c r="S7" s="1469"/>
    </row>
    <row r="8" spans="11:19">
      <c r="N8" s="1468" t="s">
        <v>46</v>
      </c>
      <c r="O8" s="1468"/>
      <c r="P8" s="1470" t="s">
        <v>4</v>
      </c>
      <c r="Q8" s="1470"/>
      <c r="R8" s="1470" t="s">
        <v>15</v>
      </c>
      <c r="S8" s="1470"/>
    </row>
    <row r="9" spans="11:19">
      <c r="K9" s="4" t="s">
        <v>5</v>
      </c>
      <c r="M9" s="406" t="s">
        <v>5</v>
      </c>
      <c r="N9" s="8" t="s">
        <v>48</v>
      </c>
      <c r="O9" s="9" t="s">
        <v>47</v>
      </c>
      <c r="P9" s="8" t="s">
        <v>48</v>
      </c>
      <c r="Q9" s="9" t="s">
        <v>47</v>
      </c>
      <c r="R9" s="8" t="s">
        <v>48</v>
      </c>
      <c r="S9" s="9" t="s">
        <v>47</v>
      </c>
    </row>
    <row r="10" spans="11:19">
      <c r="K10" s="1">
        <v>2010</v>
      </c>
      <c r="M10" s="405">
        <v>2010</v>
      </c>
      <c r="N10" s="260"/>
      <c r="O10" s="261"/>
      <c r="P10" s="260"/>
      <c r="Q10" s="261"/>
      <c r="R10" s="260"/>
      <c r="S10" s="261"/>
    </row>
    <row r="11" spans="11:19">
      <c r="K11" s="1">
        <v>2011</v>
      </c>
      <c r="M11" s="405">
        <v>2011</v>
      </c>
      <c r="N11" s="26"/>
      <c r="O11" s="27"/>
      <c r="P11" s="26"/>
      <c r="Q11" s="27"/>
      <c r="R11" s="26"/>
      <c r="S11" s="27"/>
    </row>
    <row r="12" spans="11:19">
      <c r="K12" s="1">
        <v>2012</v>
      </c>
      <c r="M12" s="405">
        <v>2012</v>
      </c>
      <c r="N12" s="26"/>
      <c r="O12" s="27"/>
      <c r="P12" s="26"/>
      <c r="Q12" s="27"/>
      <c r="R12" s="26"/>
      <c r="S12" s="27"/>
    </row>
    <row r="13" spans="11:19">
      <c r="K13" s="1">
        <v>2013</v>
      </c>
      <c r="M13" s="405">
        <v>2013</v>
      </c>
      <c r="N13" s="26"/>
      <c r="O13" s="27"/>
      <c r="P13" s="26"/>
      <c r="Q13" s="27"/>
      <c r="R13" s="26"/>
      <c r="S13" s="27"/>
    </row>
    <row r="14" spans="11:19">
      <c r="K14" s="1">
        <v>2014</v>
      </c>
      <c r="M14" s="405">
        <v>2014</v>
      </c>
      <c r="N14" s="32"/>
      <c r="O14" s="33"/>
      <c r="P14" s="26"/>
      <c r="Q14" s="27"/>
      <c r="R14" s="26"/>
      <c r="S14" s="27"/>
    </row>
    <row r="15" spans="11:19">
      <c r="K15" s="1">
        <v>2015</v>
      </c>
      <c r="M15" s="405">
        <v>2015</v>
      </c>
      <c r="N15" s="32"/>
      <c r="O15" s="34"/>
      <c r="P15" s="35"/>
      <c r="Q15" s="34"/>
      <c r="R15" s="36"/>
      <c r="S15" s="34"/>
    </row>
    <row r="16" spans="11:19">
      <c r="K16" s="1">
        <v>2016</v>
      </c>
      <c r="M16" s="405">
        <v>2016</v>
      </c>
      <c r="N16" s="32"/>
      <c r="O16" s="34"/>
      <c r="P16" s="35"/>
      <c r="Q16" s="34"/>
      <c r="R16" s="36"/>
      <c r="S16" s="34"/>
    </row>
    <row r="17" spans="2:21">
      <c r="K17" s="1">
        <v>2017</v>
      </c>
      <c r="M17" s="405">
        <v>2017</v>
      </c>
      <c r="N17" s="32"/>
      <c r="O17" s="34"/>
      <c r="P17" s="35"/>
      <c r="Q17" s="34"/>
      <c r="R17" s="36"/>
      <c r="S17" s="34"/>
    </row>
    <row r="18" spans="2:21">
      <c r="K18" s="1">
        <v>2018</v>
      </c>
      <c r="M18" s="405">
        <v>2018</v>
      </c>
      <c r="N18" s="32"/>
      <c r="O18" s="34"/>
      <c r="P18" s="35"/>
      <c r="Q18" s="34"/>
      <c r="R18" s="36"/>
      <c r="S18" s="34"/>
    </row>
    <row r="19" spans="2:21">
      <c r="K19" s="1">
        <v>2019</v>
      </c>
      <c r="M19" s="405">
        <v>2019</v>
      </c>
      <c r="N19" s="35">
        <f ca="1">N$23+(N$28-N$23)/($K$28-$K$23)*($K19-$K$23)</f>
        <v>3.1520705505371449E-2</v>
      </c>
      <c r="O19" s="34"/>
      <c r="P19" s="35"/>
      <c r="Q19" s="34"/>
      <c r="R19" s="38"/>
      <c r="S19" s="34"/>
      <c r="U19" s="4"/>
    </row>
    <row r="20" spans="2:21">
      <c r="K20" s="1">
        <v>2020</v>
      </c>
      <c r="M20" s="405">
        <v>2020</v>
      </c>
      <c r="N20" s="35">
        <f ca="1">N$23+(N$28-N$23)/($K$28-$K$23)*($K20-$K$23)</f>
        <v>3.0667412633656844E-2</v>
      </c>
      <c r="O20" s="39">
        <f>'(ANX) LCOE Wind &amp; PV'!E13</f>
        <v>-8.5714285714285743E-2</v>
      </c>
      <c r="P20" s="35">
        <f t="shared" ref="P20:P22" ca="1" si="0">P$23+(P$28-P$23)/($K$28-$K$23)*($K20-$K$23)</f>
        <v>7.7869731013673657E-2</v>
      </c>
      <c r="Q20" s="34"/>
      <c r="R20" s="35"/>
      <c r="S20" s="34"/>
      <c r="U20" s="4" t="s">
        <v>49</v>
      </c>
    </row>
    <row r="21" spans="2:21">
      <c r="K21" s="1">
        <v>2021</v>
      </c>
      <c r="M21" s="405">
        <v>2021</v>
      </c>
      <c r="N21" s="35">
        <f t="shared" ref="N21:N22" ca="1" si="1">N$23+(N$28-N$23)/($K$28-$K$23)*($K21-$K$23)</f>
        <v>2.9814119761942239E-2</v>
      </c>
      <c r="O21" s="39">
        <f>'(ANX) LCOE Wind &amp; PV'!E14</f>
        <v>-7.0000000000000007E-2</v>
      </c>
      <c r="P21" s="35">
        <f t="shared" ca="1" si="0"/>
        <v>7.5259784430978707E-2</v>
      </c>
      <c r="Q21" s="34">
        <f t="shared" ref="Q21:Q30" ca="1" si="2">P21/P20-1</f>
        <v>-3.3516830592835278E-2</v>
      </c>
      <c r="S21" s="34"/>
      <c r="U21" s="4" t="s">
        <v>240</v>
      </c>
    </row>
    <row r="22" spans="2:21">
      <c r="K22" s="1">
        <v>2022</v>
      </c>
      <c r="M22" s="405">
        <v>2022</v>
      </c>
      <c r="N22" s="35">
        <f t="shared" ca="1" si="1"/>
        <v>2.896082689022763E-2</v>
      </c>
      <c r="O22" s="39">
        <f>'(ANX) LCOE Wind &amp; PV'!E15</f>
        <v>-6.3000000000000014E-2</v>
      </c>
      <c r="P22" s="35">
        <f t="shared" ca="1" si="0"/>
        <v>7.2649837848283744E-2</v>
      </c>
      <c r="Q22" s="34">
        <f t="shared" ca="1" si="2"/>
        <v>-3.4679166336020639E-2</v>
      </c>
      <c r="R22" s="35"/>
      <c r="S22" s="34"/>
      <c r="U22" s="40"/>
    </row>
    <row r="23" spans="2:21">
      <c r="K23" s="1">
        <v>2023</v>
      </c>
      <c r="M23" s="405">
        <v>2023</v>
      </c>
      <c r="N23" s="259">
        <f ca="1">'TCO Solar Farm-Containers'!F118</f>
        <v>2.8107534018513024E-2</v>
      </c>
      <c r="O23" s="39">
        <f>'(ANX) LCOE Wind &amp; PV'!E16</f>
        <v>-5.6700000000000014E-2</v>
      </c>
      <c r="P23" s="259">
        <f ca="1">'TCO Solar Farm-Containers'!F116</f>
        <v>7.0039891265588794E-2</v>
      </c>
      <c r="Q23" s="34">
        <f t="shared" ca="1" si="2"/>
        <v>-3.5925015939407334E-2</v>
      </c>
      <c r="R23" s="259">
        <f ca="1">'TCO Solar Farm-Containers'!H116</f>
        <v>6.4778617095521962E-2</v>
      </c>
      <c r="S23" s="34"/>
      <c r="U23" s="40">
        <f t="shared" ref="U23:U30" ca="1" si="3">(R23-P23)/P23</f>
        <v>-7.5118251542057174E-2</v>
      </c>
    </row>
    <row r="24" spans="2:21">
      <c r="K24" s="1">
        <v>2024</v>
      </c>
      <c r="M24" s="405">
        <v>2024</v>
      </c>
      <c r="N24" s="35">
        <f ca="1">N$23+(N$28-N$23)/($K$28-$K$23)*($K24-$K$23)</f>
        <v>2.7254241146798419E-2</v>
      </c>
      <c r="O24" s="39">
        <f>'(ANX) LCOE Wind &amp; PV'!E17</f>
        <v>-5.1030000000000013E-2</v>
      </c>
      <c r="P24" s="35">
        <f ca="1">P$23+(P$28-P$23)/($K$28-$K$23)*($K24-$K$23)</f>
        <v>6.7429944682893844E-2</v>
      </c>
      <c r="Q24" s="34">
        <f t="shared" ca="1" si="2"/>
        <v>-3.7263715513179863E-2</v>
      </c>
      <c r="R24" s="35">
        <f t="shared" ref="R24" ca="1" si="4">R$23+(R$28-R$23)/($K$28-$K$23)*($K24-$K$23)</f>
        <v>6.0555890254767174E-2</v>
      </c>
      <c r="S24" s="34">
        <f t="shared" ref="S24:S28" ca="1" si="5">R24/R23-1</f>
        <v>-6.5187048289839122E-2</v>
      </c>
      <c r="U24" s="40">
        <f t="shared" ca="1" si="3"/>
        <v>-0.10194364626062839</v>
      </c>
    </row>
    <row r="25" spans="2:21">
      <c r="B25" s="407"/>
      <c r="C25" s="407"/>
      <c r="K25" s="1">
        <v>2025</v>
      </c>
      <c r="M25" s="405">
        <v>2025</v>
      </c>
      <c r="N25" s="35">
        <f t="shared" ref="N25:N30" ca="1" si="6">N$23+(N$28-N$23)/($K$28-$K$23)*($K25-$K$23)</f>
        <v>2.640094827508381E-2</v>
      </c>
      <c r="O25" s="39">
        <f>'(ANX) LCOE Wind &amp; PV'!E18</f>
        <v>-4.5927000000000009E-2</v>
      </c>
      <c r="P25" s="35">
        <f t="shared" ref="P25:P27" ca="1" si="7">P$23+(P$28-P$23)/($K$28-$K$23)*($K25-$K$23)</f>
        <v>6.4819998100198881E-2</v>
      </c>
      <c r="Q25" s="34">
        <f t="shared" ca="1" si="2"/>
        <v>-3.870604662318633E-2</v>
      </c>
      <c r="R25" s="35">
        <f ca="1">R$23+(R$28-R$23)/($K$28-$K$23)*($K25-$K$23)</f>
        <v>5.6333163414012385E-2</v>
      </c>
      <c r="S25" s="34">
        <f t="shared" ca="1" si="5"/>
        <v>-6.9732718369578617E-2</v>
      </c>
      <c r="U25" s="40">
        <f t="shared" ca="1" si="3"/>
        <v>-0.13092926465482965</v>
      </c>
    </row>
    <row r="26" spans="2:21">
      <c r="B26" s="407"/>
      <c r="C26" s="407"/>
      <c r="K26" s="1">
        <v>2026</v>
      </c>
      <c r="M26" s="405">
        <v>2026</v>
      </c>
      <c r="N26" s="35">
        <f t="shared" ca="1" si="6"/>
        <v>2.5547655403369205E-2</v>
      </c>
      <c r="O26" s="39">
        <f>'(ANX) LCOE Wind &amp; PV'!E19</f>
        <v>-4.1334300000000011E-2</v>
      </c>
      <c r="P26" s="35">
        <f t="shared" ca="1" si="7"/>
        <v>6.2210051517503931E-2</v>
      </c>
      <c r="Q26" s="34">
        <f t="shared" ca="1" si="2"/>
        <v>-4.0264527293883745E-2</v>
      </c>
      <c r="R26" s="35">
        <f t="shared" ref="R26:R27" ca="1" si="8">R$23+(R$28-R$23)/($K$28-$K$23)*($K26-$K$23)</f>
        <v>5.2110436573257597E-2</v>
      </c>
      <c r="S26" s="34">
        <f t="shared" ca="1" si="5"/>
        <v>-7.4959874163651574E-2</v>
      </c>
      <c r="U26" s="40">
        <f t="shared" ca="1" si="3"/>
        <v>-0.1623469953469597</v>
      </c>
    </row>
    <row r="27" spans="2:21">
      <c r="K27" s="1">
        <v>2027</v>
      </c>
      <c r="M27" s="405">
        <v>2027</v>
      </c>
      <c r="N27" s="35">
        <f t="shared" ca="1" si="6"/>
        <v>2.4694362531654596E-2</v>
      </c>
      <c r="O27" s="39">
        <f>'(ANX) LCOE Wind &amp; PV'!E20</f>
        <v>-4.1334300000000011E-2</v>
      </c>
      <c r="P27" s="35">
        <f t="shared" ca="1" si="7"/>
        <v>5.9600104934808981E-2</v>
      </c>
      <c r="Q27" s="34">
        <f t="shared" ca="1" si="2"/>
        <v>-4.1953776263319642E-2</v>
      </c>
      <c r="R27" s="35">
        <f t="shared" ca="1" si="8"/>
        <v>4.7887709732502809E-2</v>
      </c>
      <c r="S27" s="34">
        <f t="shared" ca="1" si="5"/>
        <v>-8.1034186593666679E-2</v>
      </c>
      <c r="U27" s="40">
        <f t="shared" ca="1" si="3"/>
        <v>-0.19651635202852871</v>
      </c>
    </row>
    <row r="28" spans="2:21">
      <c r="K28" s="1">
        <v>2028</v>
      </c>
      <c r="M28" s="405">
        <v>2028</v>
      </c>
      <c r="N28" s="259">
        <f ca="1">'TCO Solar Farm-Containers'!G118</f>
        <v>2.3841069659939991E-2</v>
      </c>
      <c r="O28" s="39">
        <f>'(ANX) LCOE Wind &amp; PV'!E21</f>
        <v>-4.1334300000000011E-2</v>
      </c>
      <c r="P28" s="259">
        <f ca="1">'TCO Solar Farm-Containers'!G116</f>
        <v>5.6990158352114025E-2</v>
      </c>
      <c r="Q28" s="34">
        <f t="shared" ca="1" si="2"/>
        <v>-4.3790972944590223E-2</v>
      </c>
      <c r="R28" s="259">
        <f ca="1">'TCO Solar Farm-Containers'!I116</f>
        <v>4.3664982891748021E-2</v>
      </c>
      <c r="S28" s="34">
        <f t="shared" ca="1" si="5"/>
        <v>-8.8179761870898155E-2</v>
      </c>
      <c r="U28" s="40">
        <f t="shared" ca="1" si="3"/>
        <v>-0.23381537875428121</v>
      </c>
    </row>
    <row r="29" spans="2:21">
      <c r="B29" s="969" t="s">
        <v>603</v>
      </c>
      <c r="K29" s="1">
        <v>2029</v>
      </c>
      <c r="M29" s="405">
        <v>2029</v>
      </c>
      <c r="N29" s="35">
        <f t="shared" ca="1" si="6"/>
        <v>2.2987776788225382E-2</v>
      </c>
      <c r="O29" s="39">
        <f>'(ANX) LCOE Wind &amp; PV'!E22</f>
        <v>-4.1334300000000011E-2</v>
      </c>
      <c r="P29" s="35">
        <f t="shared" ref="P29:P30" ca="1" si="9">P$23+(P$28-P$23)/($K$28-$K$23)*($K29-$K$23)</f>
        <v>5.4380211769419068E-2</v>
      </c>
      <c r="Q29" s="34">
        <f t="shared" ca="1" si="2"/>
        <v>-4.5796443774895113E-2</v>
      </c>
      <c r="R29" s="35">
        <f t="shared" ref="R29:R30" ca="1" si="10">R$23+(R$28-R$23)/($K$28-$K$23)*($K29-$K$23)</f>
        <v>3.9442256050993232E-2</v>
      </c>
      <c r="S29" s="34">
        <v>-0.12</v>
      </c>
      <c r="U29" s="40">
        <f t="shared" ca="1" si="3"/>
        <v>-0.27469469559561838</v>
      </c>
    </row>
    <row r="30" spans="2:21">
      <c r="B30" s="969" t="str">
        <f>'TCO Solar Farm-Containers'!B128</f>
        <v>06-Jan-2021 rev. b</v>
      </c>
      <c r="C30" s="969"/>
      <c r="D30" s="969"/>
      <c r="E30" s="969"/>
      <c r="K30" s="1">
        <v>2030</v>
      </c>
      <c r="M30" s="405">
        <v>2030</v>
      </c>
      <c r="N30" s="262">
        <f t="shared" ca="1" si="6"/>
        <v>2.2134483916510777E-2</v>
      </c>
      <c r="O30" s="1240">
        <f>'(ANX) LCOE Wind &amp; PV'!E23</f>
        <v>-4.1334300000000011E-2</v>
      </c>
      <c r="P30" s="262">
        <f t="shared" ca="1" si="9"/>
        <v>5.1770265186724118E-2</v>
      </c>
      <c r="Q30" s="263">
        <f t="shared" ca="1" si="2"/>
        <v>-4.7994417413480206E-2</v>
      </c>
      <c r="R30" s="262">
        <f t="shared" ca="1" si="10"/>
        <v>3.5219529210238444E-2</v>
      </c>
      <c r="S30" s="263">
        <v>-0.1</v>
      </c>
      <c r="U30" s="40">
        <f t="shared" ca="1" si="3"/>
        <v>-0.31969579288015543</v>
      </c>
    </row>
    <row r="33" spans="1:11" s="193" customFormat="1" ht="17.25" customHeight="1">
      <c r="B33" s="193" t="s">
        <v>660</v>
      </c>
      <c r="D33" s="953"/>
      <c r="E33" s="953"/>
      <c r="H33" s="912"/>
    </row>
    <row r="34" spans="1:11" s="79" customFormat="1" ht="3.75" customHeight="1">
      <c r="H34" s="911"/>
    </row>
    <row r="35" spans="1:11" s="79" customFormat="1" ht="18" customHeight="1">
      <c r="A35" s="955" t="s">
        <v>664</v>
      </c>
      <c r="B35" s="895" t="str">
        <f ca="1">INDIRECT(H35,TRUE)</f>
        <v>AZA Perfs (Costs &amp; SceLife)</v>
      </c>
      <c r="C35" s="893"/>
      <c r="D35" s="893"/>
      <c r="E35" s="896">
        <f ca="1">OFFSET(INDIRECT(H35,TRUE),1,0)</f>
        <v>1</v>
      </c>
      <c r="H35" s="955" t="str">
        <f>CONCATENATE("'DropDown menus'!",A35,3)</f>
        <v>'DropDown menus'!L3</v>
      </c>
      <c r="I35" s="955"/>
      <c r="J35" s="955"/>
      <c r="K35" s="955"/>
    </row>
    <row r="36" spans="1:11" s="79" customFormat="1" ht="3.75" customHeight="1">
      <c r="A36" s="955"/>
      <c r="H36" s="955"/>
      <c r="I36" s="955"/>
      <c r="J36" s="955"/>
      <c r="K36" s="955"/>
    </row>
    <row r="37" spans="1:11" s="79" customFormat="1" ht="18" customHeight="1">
      <c r="A37" s="955" t="s">
        <v>667</v>
      </c>
      <c r="B37" s="895" t="str">
        <f ca="1">INDIRECT(H37,TRUE)</f>
        <v>AZA ZAB energy eff.</v>
      </c>
      <c r="C37" s="893"/>
      <c r="D37" s="893"/>
      <c r="E37" s="896">
        <f ca="1">OFFSET(INDIRECT(H37,TRUE),1,0)</f>
        <v>0.55000000000000004</v>
      </c>
      <c r="H37" s="955" t="str">
        <f>CONCATENATE("'DropDown menus'!",A37,3)</f>
        <v>'DropDown menus'!AI3</v>
      </c>
      <c r="I37" s="955"/>
      <c r="J37" s="955"/>
      <c r="K37" s="955"/>
    </row>
    <row r="38" spans="1:11" s="79" customFormat="1" ht="3.75" customHeight="1">
      <c r="A38" s="955"/>
      <c r="H38" s="955"/>
      <c r="I38" s="955"/>
      <c r="J38" s="955"/>
      <c r="K38" s="955"/>
    </row>
    <row r="39" spans="1:11" s="79" customFormat="1" ht="18" customHeight="1">
      <c r="A39" s="955" t="s">
        <v>665</v>
      </c>
      <c r="B39" s="895" t="str">
        <f ca="1">INDIRECT(H39,TRUE)</f>
        <v>Li-ion 2020 performance</v>
      </c>
      <c r="C39" s="893"/>
      <c r="D39" s="893"/>
      <c r="E39" s="896">
        <f ca="1">OFFSET(INDIRECT(H39,TRUE),1,0)</f>
        <v>1</v>
      </c>
      <c r="H39" s="955" t="str">
        <f>CONCATENATE("'DropDown menus'!",A39,3)</f>
        <v>'DropDown menus'!O3</v>
      </c>
      <c r="I39" s="955"/>
      <c r="J39" s="955"/>
      <c r="K39" s="955"/>
    </row>
    <row r="40" spans="1:11" s="79" customFormat="1" ht="3.75" customHeight="1">
      <c r="A40" s="955"/>
      <c r="H40" s="955"/>
      <c r="I40" s="955"/>
      <c r="J40" s="955"/>
      <c r="K40" s="955"/>
    </row>
    <row r="41" spans="1:11" s="79" customFormat="1" ht="18" customHeight="1">
      <c r="A41" s="955" t="s">
        <v>662</v>
      </c>
      <c r="B41" s="895" t="str">
        <f ca="1">INDIRECT(H41,TRUE)</f>
        <v>Inflation Rate</v>
      </c>
      <c r="C41" s="894"/>
      <c r="D41" s="893"/>
      <c r="E41" s="897">
        <f ca="1">OFFSET(INDIRECT(H41,TRUE),1,0)</f>
        <v>0.02</v>
      </c>
      <c r="H41" s="955" t="str">
        <f>CONCATENATE("'DropDown menus'!",A41,3)</f>
        <v>'DropDown menus'!F3</v>
      </c>
      <c r="I41" s="955"/>
      <c r="J41" s="955"/>
      <c r="K41" s="955"/>
    </row>
    <row r="42" spans="1:11" s="79" customFormat="1" ht="3.75" customHeight="1">
      <c r="A42" s="955"/>
      <c r="E42" s="898"/>
      <c r="H42" s="955"/>
      <c r="I42" s="955"/>
      <c r="J42" s="955"/>
      <c r="K42" s="955"/>
    </row>
    <row r="43" spans="1:11" s="79" customFormat="1" ht="18" customHeight="1">
      <c r="A43" s="955" t="s">
        <v>663</v>
      </c>
      <c r="B43" s="895" t="str">
        <f ca="1">INDIRECT(H43,TRUE)</f>
        <v>WACC nominal</v>
      </c>
      <c r="C43" s="893"/>
      <c r="D43" s="893"/>
      <c r="E43" s="897">
        <f ca="1">OFFSET(INDIRECT(H43,TRUE),1,0)</f>
        <v>0.04</v>
      </c>
      <c r="H43" s="955" t="str">
        <f>CONCATENATE("'DropDown menus'!",A43,3)</f>
        <v>'DropDown menus'!I3</v>
      </c>
      <c r="I43" s="955"/>
      <c r="J43" s="955"/>
      <c r="K43" s="955"/>
    </row>
    <row r="44" spans="1:11" s="79" customFormat="1" ht="3.75" customHeight="1">
      <c r="A44" s="955"/>
      <c r="E44" s="898"/>
      <c r="H44" s="955"/>
      <c r="I44" s="955"/>
      <c r="J44" s="955"/>
      <c r="K44" s="955"/>
    </row>
    <row r="45" spans="1:11" s="79" customFormat="1" ht="18" customHeight="1">
      <c r="A45" s="955" t="s">
        <v>666</v>
      </c>
      <c r="B45" s="895" t="str">
        <f ca="1">INDIRECT(H45,TRUE)</f>
        <v>PV OPEX/CAPEX</v>
      </c>
      <c r="C45" s="893"/>
      <c r="D45" s="893"/>
      <c r="E45" s="897">
        <f ca="1">OFFSET(INDIRECT(H45,TRUE),1,0)</f>
        <v>0.02</v>
      </c>
      <c r="H45" s="955" t="str">
        <f>CONCATENATE("'DropDown menus'!",A45,3)</f>
        <v>'DropDown menus'!AF3</v>
      </c>
      <c r="I45" s="955"/>
      <c r="J45" s="955"/>
      <c r="K45" s="955"/>
    </row>
    <row r="46" spans="1:11" s="79" customFormat="1" ht="3.75" customHeight="1">
      <c r="A46" s="955"/>
      <c r="H46" s="955"/>
      <c r="I46" s="955"/>
      <c r="J46" s="955"/>
      <c r="K46" s="955"/>
    </row>
    <row r="47" spans="1:11" s="79" customFormat="1" ht="18" customHeight="1">
      <c r="A47" s="955" t="s">
        <v>275</v>
      </c>
      <c r="B47" s="895" t="str">
        <f ca="1">INDIRECT(H47,TRUE)</f>
        <v>EUR2USD yearly progress</v>
      </c>
      <c r="C47" s="893"/>
      <c r="D47" s="893"/>
      <c r="E47" s="897">
        <f ca="1">OFFSET(INDIRECT(H47,TRUE),1,0)</f>
        <v>0</v>
      </c>
      <c r="H47" s="955" t="str">
        <f>CONCATENATE("'DropDown menus'!",A47,3)</f>
        <v>'DropDown menus'!C3</v>
      </c>
      <c r="I47" s="955"/>
      <c r="J47" s="955"/>
      <c r="K47" s="955"/>
    </row>
    <row r="48" spans="1:11" s="79" customFormat="1" ht="3.75" customHeight="1">
      <c r="A48" s="911"/>
      <c r="E48" s="898"/>
      <c r="H48" s="911"/>
    </row>
    <row r="49" spans="1:11" s="79" customFormat="1" ht="18" customHeight="1">
      <c r="A49" s="955" t="s">
        <v>685</v>
      </c>
      <c r="B49" s="895" t="str">
        <f ca="1">INDIRECT(G49,TRUE)</f>
        <v>PV Balance of System</v>
      </c>
      <c r="C49" s="893"/>
      <c r="D49" s="893"/>
      <c r="E49" s="967">
        <f ca="1">OFFSET(INDIRECT(G49,TRUE),1,0)</f>
        <v>125</v>
      </c>
      <c r="G49" s="955" t="str">
        <f>CONCATENATE("'DropDown menus'!",A49,3)</f>
        <v>'DropDown menus'!AO3</v>
      </c>
      <c r="H49" s="955"/>
      <c r="I49" s="955"/>
      <c r="J49" s="955"/>
    </row>
    <row r="50" spans="1:11" s="79" customFormat="1" ht="3.75" customHeight="1">
      <c r="A50" s="911"/>
      <c r="E50" s="898"/>
      <c r="H50" s="911"/>
    </row>
    <row r="51" spans="1:11" s="79" customFormat="1" ht="18" customHeight="1">
      <c r="A51" s="955" t="s">
        <v>685</v>
      </c>
      <c r="B51" s="895" t="s">
        <v>839</v>
      </c>
      <c r="C51" s="893"/>
      <c r="D51" s="1231" t="s">
        <v>842</v>
      </c>
      <c r="E51" s="1231"/>
      <c r="F51" s="896"/>
      <c r="G51" s="724"/>
      <c r="H51" s="724"/>
      <c r="I51" s="724"/>
      <c r="J51" s="724"/>
      <c r="K51" s="724"/>
    </row>
  </sheetData>
  <mergeCells count="7">
    <mergeCell ref="N3:S4"/>
    <mergeCell ref="N5:S5"/>
    <mergeCell ref="N6:S6"/>
    <mergeCell ref="N7:O8"/>
    <mergeCell ref="P7:S7"/>
    <mergeCell ref="P8:Q8"/>
    <mergeCell ref="R8:S8"/>
  </mergeCells>
  <pageMargins left="0.39374999999999999" right="0.39374999999999999" top="0.78749999999999998" bottom="1.05277777777778" header="0.51180555555555496" footer="0.78749999999999998"/>
  <pageSetup paperSize="9" scale="115" firstPageNumber="0" orientation="landscape" r:id="rId1"/>
  <headerFoot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8" r:id="rId4" name="Button 10">
              <controlPr defaultSize="0" print="0" autoFill="0" autoPict="0" macro="[0]!SET_NOMINAL_options">
                <anchor moveWithCells="1" sizeWithCells="1">
                  <from>
                    <xdr:col>3</xdr:col>
                    <xdr:colOff>114300</xdr:colOff>
                    <xdr:row>32</xdr:row>
                    <xdr:rowOff>38100</xdr:rowOff>
                  </from>
                  <to>
                    <xdr:col>4</xdr:col>
                    <xdr:colOff>533400</xdr:colOff>
                    <xdr:row>32</xdr:row>
                    <xdr:rowOff>203200</xdr:rowOff>
                  </to>
                </anchor>
              </controlPr>
            </control>
          </mc:Choice>
        </mc:AlternateContent>
        <mc:AlternateContent xmlns:mc="http://schemas.openxmlformats.org/markup-compatibility/2006">
          <mc:Choice Requires="x14">
            <control shapeId="37899" r:id="rId5" name="Drop Down 11">
              <controlPr defaultSize="0" autoLine="0" autoPict="0">
                <anchor moveWithCells="1">
                  <from>
                    <xdr:col>2</xdr:col>
                    <xdr:colOff>101600</xdr:colOff>
                    <xdr:row>44</xdr:row>
                    <xdr:rowOff>38100</xdr:rowOff>
                  </from>
                  <to>
                    <xdr:col>3</xdr:col>
                    <xdr:colOff>558800</xdr:colOff>
                    <xdr:row>44</xdr:row>
                    <xdr:rowOff>215900</xdr:rowOff>
                  </to>
                </anchor>
              </controlPr>
            </control>
          </mc:Choice>
        </mc:AlternateContent>
        <mc:AlternateContent xmlns:mc="http://schemas.openxmlformats.org/markup-compatibility/2006">
          <mc:Choice Requires="x14">
            <control shapeId="37900" r:id="rId6" name="Drop Down 12">
              <controlPr defaultSize="0" autoLine="0" autoPict="0">
                <anchor moveWithCells="1">
                  <from>
                    <xdr:col>2</xdr:col>
                    <xdr:colOff>101600</xdr:colOff>
                    <xdr:row>36</xdr:row>
                    <xdr:rowOff>38100</xdr:rowOff>
                  </from>
                  <to>
                    <xdr:col>3</xdr:col>
                    <xdr:colOff>558800</xdr:colOff>
                    <xdr:row>36</xdr:row>
                    <xdr:rowOff>215900</xdr:rowOff>
                  </to>
                </anchor>
              </controlPr>
            </control>
          </mc:Choice>
        </mc:AlternateContent>
        <mc:AlternateContent xmlns:mc="http://schemas.openxmlformats.org/markup-compatibility/2006">
          <mc:Choice Requires="x14">
            <control shapeId="37901" r:id="rId7" name="Drop Down 13">
              <controlPr defaultSize="0" autoLine="0" autoPict="0">
                <anchor moveWithCells="1">
                  <from>
                    <xdr:col>2</xdr:col>
                    <xdr:colOff>101600</xdr:colOff>
                    <xdr:row>38</xdr:row>
                    <xdr:rowOff>38100</xdr:rowOff>
                  </from>
                  <to>
                    <xdr:col>3</xdr:col>
                    <xdr:colOff>558800</xdr:colOff>
                    <xdr:row>38</xdr:row>
                    <xdr:rowOff>215900</xdr:rowOff>
                  </to>
                </anchor>
              </controlPr>
            </control>
          </mc:Choice>
        </mc:AlternateContent>
        <mc:AlternateContent xmlns:mc="http://schemas.openxmlformats.org/markup-compatibility/2006">
          <mc:Choice Requires="x14">
            <control shapeId="37902" r:id="rId8" name="Drop Down 14">
              <controlPr defaultSize="0" autoLine="0" autoPict="0">
                <anchor moveWithCells="1">
                  <from>
                    <xdr:col>2</xdr:col>
                    <xdr:colOff>101600</xdr:colOff>
                    <xdr:row>34</xdr:row>
                    <xdr:rowOff>25400</xdr:rowOff>
                  </from>
                  <to>
                    <xdr:col>3</xdr:col>
                    <xdr:colOff>558800</xdr:colOff>
                    <xdr:row>34</xdr:row>
                    <xdr:rowOff>203200</xdr:rowOff>
                  </to>
                </anchor>
              </controlPr>
            </control>
          </mc:Choice>
        </mc:AlternateContent>
        <mc:AlternateContent xmlns:mc="http://schemas.openxmlformats.org/markup-compatibility/2006">
          <mc:Choice Requires="x14">
            <control shapeId="37903" r:id="rId9" name="Drop Down 15">
              <controlPr defaultSize="0" autoLine="0" autoPict="0">
                <anchor moveWithCells="1">
                  <from>
                    <xdr:col>2</xdr:col>
                    <xdr:colOff>101600</xdr:colOff>
                    <xdr:row>40</xdr:row>
                    <xdr:rowOff>38100</xdr:rowOff>
                  </from>
                  <to>
                    <xdr:col>3</xdr:col>
                    <xdr:colOff>558800</xdr:colOff>
                    <xdr:row>40</xdr:row>
                    <xdr:rowOff>215900</xdr:rowOff>
                  </to>
                </anchor>
              </controlPr>
            </control>
          </mc:Choice>
        </mc:AlternateContent>
        <mc:AlternateContent xmlns:mc="http://schemas.openxmlformats.org/markup-compatibility/2006">
          <mc:Choice Requires="x14">
            <control shapeId="37904" r:id="rId10" name="Drop Down 16">
              <controlPr defaultSize="0" autoLine="0" autoPict="0">
                <anchor moveWithCells="1">
                  <from>
                    <xdr:col>2</xdr:col>
                    <xdr:colOff>101600</xdr:colOff>
                    <xdr:row>42</xdr:row>
                    <xdr:rowOff>50800</xdr:rowOff>
                  </from>
                  <to>
                    <xdr:col>3</xdr:col>
                    <xdr:colOff>558800</xdr:colOff>
                    <xdr:row>42</xdr:row>
                    <xdr:rowOff>215900</xdr:rowOff>
                  </to>
                </anchor>
              </controlPr>
            </control>
          </mc:Choice>
        </mc:AlternateContent>
        <mc:AlternateContent xmlns:mc="http://schemas.openxmlformats.org/markup-compatibility/2006">
          <mc:Choice Requires="x14">
            <control shapeId="37905" r:id="rId11" name="Drop Down 17">
              <controlPr defaultSize="0" autoLine="0" autoPict="0">
                <anchor moveWithCells="1">
                  <from>
                    <xdr:col>2</xdr:col>
                    <xdr:colOff>101600</xdr:colOff>
                    <xdr:row>46</xdr:row>
                    <xdr:rowOff>25400</xdr:rowOff>
                  </from>
                  <to>
                    <xdr:col>3</xdr:col>
                    <xdr:colOff>558800</xdr:colOff>
                    <xdr:row>46</xdr:row>
                    <xdr:rowOff>215900</xdr:rowOff>
                  </to>
                </anchor>
              </controlPr>
            </control>
          </mc:Choice>
        </mc:AlternateContent>
        <mc:AlternateContent xmlns:mc="http://schemas.openxmlformats.org/markup-compatibility/2006">
          <mc:Choice Requires="x14">
            <control shapeId="37906" r:id="rId12" name="Drop Down 18">
              <controlPr defaultSize="0" autoLine="0" autoPict="0">
                <anchor moveWithCells="1">
                  <from>
                    <xdr:col>2</xdr:col>
                    <xdr:colOff>101600</xdr:colOff>
                    <xdr:row>48</xdr:row>
                    <xdr:rowOff>25400</xdr:rowOff>
                  </from>
                  <to>
                    <xdr:col>3</xdr:col>
                    <xdr:colOff>558800</xdr:colOff>
                    <xdr:row>48</xdr:row>
                    <xdr:rowOff>203200</xdr:rowOff>
                  </to>
                </anchor>
              </controlPr>
            </control>
          </mc:Choice>
        </mc:AlternateContent>
        <mc:AlternateContent xmlns:mc="http://schemas.openxmlformats.org/markup-compatibility/2006">
          <mc:Choice Requires="x14">
            <control shapeId="37907" r:id="rId13" name="Drop Down 19">
              <controlPr defaultSize="0" autoLine="0" autoPict="0">
                <anchor moveWithCells="1">
                  <from>
                    <xdr:col>1</xdr:col>
                    <xdr:colOff>431800</xdr:colOff>
                    <xdr:row>24</xdr:row>
                    <xdr:rowOff>63500</xdr:rowOff>
                  </from>
                  <to>
                    <xdr:col>2</xdr:col>
                    <xdr:colOff>711200</xdr:colOff>
                    <xdr:row>25</xdr:row>
                    <xdr:rowOff>139700</xdr:rowOff>
                  </to>
                </anchor>
              </controlPr>
            </control>
          </mc:Choice>
        </mc:AlternateContent>
        <mc:AlternateContent xmlns:mc="http://schemas.openxmlformats.org/markup-compatibility/2006">
          <mc:Choice Requires="x14">
            <control shapeId="37910" r:id="rId14" name="Drop Down 22">
              <controlPr defaultSize="0" autoLine="0" autoPict="0">
                <anchor moveWithCells="1">
                  <from>
                    <xdr:col>1</xdr:col>
                    <xdr:colOff>1028700</xdr:colOff>
                    <xdr:row>50</xdr:row>
                    <xdr:rowOff>25400</xdr:rowOff>
                  </from>
                  <to>
                    <xdr:col>2</xdr:col>
                    <xdr:colOff>863600</xdr:colOff>
                    <xdr:row>50</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FF00"/>
    <pageSetUpPr fitToPage="1"/>
  </sheetPr>
  <dimension ref="A2:Q60"/>
  <sheetViews>
    <sheetView zoomScale="90" zoomScaleNormal="90" workbookViewId="0">
      <selection activeCell="H35" sqref="H35"/>
    </sheetView>
  </sheetViews>
  <sheetFormatPr baseColWidth="10" defaultColWidth="8.83203125" defaultRowHeight="13"/>
  <cols>
    <col min="1" max="1" width="2.6640625" customWidth="1"/>
    <col min="2" max="2" width="22.1640625" customWidth="1"/>
    <col min="3" max="3" width="18.5" customWidth="1"/>
    <col min="5" max="5" width="10.5" customWidth="1"/>
    <col min="6" max="6" width="7.1640625" customWidth="1"/>
    <col min="7" max="7" width="2.83203125" customWidth="1"/>
    <col min="8" max="8" width="3" customWidth="1"/>
    <col min="9" max="9" width="4.6640625" customWidth="1"/>
    <col min="10" max="10" width="3" customWidth="1"/>
    <col min="11" max="11" width="10.5" customWidth="1"/>
    <col min="12" max="13" width="10" customWidth="1"/>
    <col min="14" max="14" width="3" customWidth="1"/>
    <col min="15" max="15" width="13.33203125" style="1" customWidth="1"/>
    <col min="17" max="17" width="6.33203125" customWidth="1"/>
    <col min="18" max="18" width="9.83203125" customWidth="1"/>
  </cols>
  <sheetData>
    <row r="2" spans="2:17" ht="24.75" customHeight="1">
      <c r="B2" s="174" t="s">
        <v>38</v>
      </c>
      <c r="C2" s="14"/>
      <c r="D2" s="14"/>
      <c r="E2" s="14"/>
      <c r="F2" s="14"/>
      <c r="G2" s="14"/>
      <c r="H2" s="14"/>
      <c r="I2" s="14"/>
      <c r="J2" s="14"/>
    </row>
    <row r="3" spans="2:17">
      <c r="B3" s="969" t="str">
        <f>'TCO Solar Farm-Containers'!B128</f>
        <v>06-Jan-2021 rev. b</v>
      </c>
      <c r="C3" s="969"/>
      <c r="D3" s="969"/>
      <c r="E3" s="969"/>
      <c r="F3" s="14"/>
      <c r="G3" s="14"/>
      <c r="H3" s="14"/>
      <c r="I3" s="14"/>
      <c r="J3" s="14"/>
    </row>
    <row r="4" spans="2:17">
      <c r="B4" s="175"/>
      <c r="C4" s="14"/>
      <c r="D4" s="14"/>
      <c r="E4" s="14"/>
      <c r="F4" s="14"/>
      <c r="G4" s="14"/>
      <c r="H4" s="14"/>
      <c r="I4" s="14"/>
      <c r="J4" s="14"/>
      <c r="O4" s="405"/>
      <c r="P4" s="771"/>
    </row>
    <row r="5" spans="2:17" s="6" customFormat="1" ht="7.5" customHeight="1">
      <c r="C5" s="173"/>
      <c r="L5" s="1475" t="s">
        <v>847</v>
      </c>
      <c r="M5" s="1475"/>
      <c r="O5" s="540"/>
      <c r="P5" s="773"/>
    </row>
    <row r="6" spans="2:17" ht="21.75" customHeight="1">
      <c r="L6" s="1475"/>
      <c r="M6" s="1475"/>
      <c r="O6" s="405"/>
      <c r="P6" s="771"/>
      <c r="Q6" s="771"/>
    </row>
    <row r="7" spans="2:17" s="6" customFormat="1" ht="15.75" customHeight="1">
      <c r="L7" s="176" t="s">
        <v>3</v>
      </c>
      <c r="M7" s="176" t="s">
        <v>4</v>
      </c>
      <c r="O7" s="45"/>
    </row>
    <row r="8" spans="2:17">
      <c r="J8" s="4"/>
      <c r="L8" s="177">
        <f ca="1">OFFSET('TCO Solar Farm-Containers'!$E$125,0,3+(opt_YearId-1))</f>
        <v>8.0214725632812289E-3</v>
      </c>
      <c r="M8" s="177">
        <f ca="1">OFFSET('TCO Solar Farm-Containers'!$E$125,0,1+(opt_YearId-1))</f>
        <v>2.8894566874290355E-2</v>
      </c>
      <c r="O8" s="159" t="s">
        <v>235</v>
      </c>
    </row>
    <row r="9" spans="2:17">
      <c r="J9" s="4"/>
      <c r="L9" s="178">
        <f ca="1">OFFSET('TCO Solar Farm-Containers'!$E$126,0,3+(opt_YearId-1))</f>
        <v>1.5366249941480568</v>
      </c>
      <c r="M9" s="178">
        <f ca="1">OFFSET('TCO Solar Farm-Containers'!$E$126,0,1+(opt_YearId-1))</f>
        <v>1.1784534787477479</v>
      </c>
      <c r="O9" s="159" t="s">
        <v>608</v>
      </c>
    </row>
    <row r="10" spans="2:17" ht="14" thickBot="1">
      <c r="J10" s="4"/>
    </row>
    <row r="11" spans="2:17">
      <c r="K11" s="161" t="s">
        <v>0</v>
      </c>
      <c r="L11" s="1471" t="s">
        <v>181</v>
      </c>
      <c r="M11" s="1472"/>
      <c r="O11" s="1473" t="s">
        <v>39</v>
      </c>
      <c r="P11" s="5"/>
    </row>
    <row r="12" spans="2:17">
      <c r="J12" s="1"/>
      <c r="K12" s="162" t="s">
        <v>2</v>
      </c>
      <c r="L12" s="171" t="s">
        <v>3</v>
      </c>
      <c r="M12" s="172" t="s">
        <v>4</v>
      </c>
      <c r="O12" s="1474"/>
    </row>
    <row r="13" spans="2:17">
      <c r="J13" s="1"/>
      <c r="K13" s="163">
        <v>0.08</v>
      </c>
      <c r="L13" s="376">
        <f t="shared" ref="L13:M27" ca="1" si="0">$K13*L$9+L$8</f>
        <v>0.13095147209512575</v>
      </c>
      <c r="M13" s="377">
        <f t="shared" ca="1" si="0"/>
        <v>0.12317084517411019</v>
      </c>
      <c r="O13" s="166">
        <f t="shared" ref="O13:O27" ca="1" si="1">(L13-M13)/M13</f>
        <v>6.3169388096810844E-2</v>
      </c>
    </row>
    <row r="14" spans="2:17">
      <c r="J14" s="1"/>
      <c r="K14" s="164">
        <f t="shared" ref="K14:K22" si="2">K13-K$29</f>
        <v>7.4999999999999997E-2</v>
      </c>
      <c r="L14" s="378">
        <f t="shared" ca="1" si="0"/>
        <v>0.12326834712438547</v>
      </c>
      <c r="M14" s="379">
        <f t="shared" ca="1" si="0"/>
        <v>0.11727857778037144</v>
      </c>
      <c r="O14" s="166">
        <f t="shared" ca="1" si="1"/>
        <v>5.107300461326468E-2</v>
      </c>
    </row>
    <row r="15" spans="2:17">
      <c r="J15" s="1"/>
      <c r="K15" s="164">
        <f t="shared" si="2"/>
        <v>6.9999999999999993E-2</v>
      </c>
      <c r="L15" s="378">
        <f t="shared" ca="1" si="0"/>
        <v>0.1155852221536452</v>
      </c>
      <c r="M15" s="379">
        <f t="shared" ca="1" si="0"/>
        <v>0.1113863103866327</v>
      </c>
      <c r="O15" s="166">
        <f t="shared" ca="1" si="1"/>
        <v>3.7696838619015786E-2</v>
      </c>
    </row>
    <row r="16" spans="2:17">
      <c r="J16" s="1"/>
      <c r="K16" s="164">
        <f t="shared" si="2"/>
        <v>6.4999999999999988E-2</v>
      </c>
      <c r="L16" s="378">
        <f ca="1">$K16*L$9+L$8</f>
        <v>0.1079020971829049</v>
      </c>
      <c r="M16" s="379">
        <f t="shared" ca="1" si="0"/>
        <v>0.10549404299289396</v>
      </c>
      <c r="O16" s="166">
        <f t="shared" ca="1" si="1"/>
        <v>2.2826447083586984E-2</v>
      </c>
    </row>
    <row r="17" spans="2:15">
      <c r="J17" s="1"/>
      <c r="K17" s="164">
        <f t="shared" si="2"/>
        <v>5.9999999999999991E-2</v>
      </c>
      <c r="L17" s="378">
        <f t="shared" ref="L17:L27" ca="1" si="3">$K17*L$9+L$8</f>
        <v>0.10021897221216462</v>
      </c>
      <c r="M17" s="379">
        <f t="shared" ca="1" si="0"/>
        <v>9.9601775599155215E-2</v>
      </c>
      <c r="O17" s="166">
        <f t="shared" ca="1" si="1"/>
        <v>6.1966426732521255E-3</v>
      </c>
    </row>
    <row r="18" spans="2:15">
      <c r="J18" s="1"/>
      <c r="K18" s="164">
        <f t="shared" si="2"/>
        <v>5.4999999999999993E-2</v>
      </c>
      <c r="L18" s="378">
        <f t="shared" ca="1" si="3"/>
        <v>9.2535847241424343E-2</v>
      </c>
      <c r="M18" s="379">
        <f t="shared" ca="1" si="0"/>
        <v>9.3709508205416486E-2</v>
      </c>
      <c r="O18" s="166">
        <f t="shared" ca="1" si="1"/>
        <v>-1.2524459752999798E-2</v>
      </c>
    </row>
    <row r="19" spans="2:15">
      <c r="J19" s="1"/>
      <c r="K19" s="164">
        <f t="shared" si="2"/>
        <v>4.9999999999999996E-2</v>
      </c>
      <c r="L19" s="378">
        <f t="shared" ca="1" si="3"/>
        <v>8.4852722270684064E-2</v>
      </c>
      <c r="M19" s="379">
        <f t="shared" ca="1" si="0"/>
        <v>8.7817240811677744E-2</v>
      </c>
      <c r="O19" s="166">
        <f t="shared" ca="1" si="1"/>
        <v>-3.3757819234505763E-2</v>
      </c>
    </row>
    <row r="20" spans="2:15">
      <c r="K20" s="164">
        <f t="shared" si="2"/>
        <v>4.4999999999999998E-2</v>
      </c>
      <c r="L20" s="378">
        <f t="shared" ca="1" si="3"/>
        <v>7.7169597299943785E-2</v>
      </c>
      <c r="M20" s="379">
        <f t="shared" ca="1" si="0"/>
        <v>8.1924973417939001E-2</v>
      </c>
      <c r="O20" s="166">
        <f t="shared" ca="1" si="1"/>
        <v>-5.8045500896725812E-2</v>
      </c>
    </row>
    <row r="21" spans="2:15">
      <c r="K21" s="164">
        <f t="shared" si="2"/>
        <v>0.04</v>
      </c>
      <c r="L21" s="378">
        <f t="shared" ca="1" si="3"/>
        <v>6.9486472329203491E-2</v>
      </c>
      <c r="M21" s="379">
        <f t="shared" ca="1" si="0"/>
        <v>7.6032706024200272E-2</v>
      </c>
      <c r="O21" s="167">
        <f t="shared" ca="1" si="1"/>
        <v>-8.6097602430632886E-2</v>
      </c>
    </row>
    <row r="22" spans="2:15">
      <c r="K22" s="164">
        <f t="shared" si="2"/>
        <v>3.5000000000000003E-2</v>
      </c>
      <c r="L22" s="378">
        <f t="shared" ca="1" si="3"/>
        <v>6.1803347358463219E-2</v>
      </c>
      <c r="M22" s="379">
        <f t="shared" ca="1" si="0"/>
        <v>7.014043863046153E-2</v>
      </c>
      <c r="O22" s="167">
        <f t="shared" ca="1" si="1"/>
        <v>-0.11886283340659873</v>
      </c>
    </row>
    <row r="23" spans="2:15">
      <c r="K23" s="164">
        <f>K22-K$29</f>
        <v>3.0000000000000002E-2</v>
      </c>
      <c r="L23" s="378">
        <f t="shared" ca="1" si="3"/>
        <v>5.4120222387722933E-2</v>
      </c>
      <c r="M23" s="379">
        <f t="shared" ca="1" si="0"/>
        <v>6.4248171236722801E-2</v>
      </c>
      <c r="O23" s="167">
        <f ca="1">(L23-M23)/M23</f>
        <v>-0.15763793200717535</v>
      </c>
    </row>
    <row r="24" spans="2:15">
      <c r="K24" s="164">
        <f>K23-K$29</f>
        <v>2.5000000000000001E-2</v>
      </c>
      <c r="L24" s="378">
        <f t="shared" ca="1" si="3"/>
        <v>4.6437097416982653E-2</v>
      </c>
      <c r="M24" s="379">
        <f t="shared" ca="1" si="0"/>
        <v>5.8355903842984058E-2</v>
      </c>
      <c r="O24" s="167">
        <f ca="1">(L24-M24)/M24</f>
        <v>-0.20424336941247401</v>
      </c>
    </row>
    <row r="25" spans="2:15">
      <c r="K25" s="164">
        <f>K24-K$29</f>
        <v>0.02</v>
      </c>
      <c r="L25" s="378">
        <f t="shared" ca="1" si="3"/>
        <v>3.875397244624236E-2</v>
      </c>
      <c r="M25" s="379">
        <f t="shared" ca="1" si="0"/>
        <v>5.2463636449245316E-2</v>
      </c>
      <c r="O25" s="167">
        <f ca="1">(L25-M25)/M25</f>
        <v>-0.26131745587757799</v>
      </c>
    </row>
    <row r="26" spans="2:15">
      <c r="K26" s="164">
        <f>K25-K$29</f>
        <v>1.4999999999999999E-2</v>
      </c>
      <c r="L26" s="378">
        <f t="shared" ca="1" si="3"/>
        <v>3.1070847475502081E-2</v>
      </c>
      <c r="M26" s="379">
        <f t="shared" ca="1" si="0"/>
        <v>4.6571369055506573E-2</v>
      </c>
      <c r="O26" s="167">
        <f ca="1">(L26-M26)/M26</f>
        <v>-0.33283371080480872</v>
      </c>
    </row>
    <row r="27" spans="2:15" ht="14" thickBot="1">
      <c r="K27" s="165">
        <f>K26-K$29</f>
        <v>9.9999999999999985E-3</v>
      </c>
      <c r="L27" s="380">
        <f t="shared" ca="1" si="3"/>
        <v>2.3387722504761795E-2</v>
      </c>
      <c r="M27" s="381">
        <f t="shared" ca="1" si="0"/>
        <v>4.067910166176783E-2</v>
      </c>
      <c r="O27" s="168">
        <f t="shared" ca="1" si="1"/>
        <v>-0.42506787147802977</v>
      </c>
    </row>
    <row r="29" spans="2:15">
      <c r="K29" s="169">
        <v>5.0000000000000001E-3</v>
      </c>
      <c r="L29" s="170" t="s">
        <v>184</v>
      </c>
    </row>
    <row r="30" spans="2:15">
      <c r="O30" s="3"/>
    </row>
    <row r="31" spans="2:15">
      <c r="B31" s="119" t="s">
        <v>183</v>
      </c>
    </row>
    <row r="32" spans="2:15">
      <c r="B32" s="11" t="s">
        <v>182</v>
      </c>
    </row>
    <row r="33" spans="1:15">
      <c r="B33" s="11" t="s">
        <v>609</v>
      </c>
    </row>
    <row r="34" spans="1:15">
      <c r="B34" s="11"/>
    </row>
    <row r="35" spans="1:15">
      <c r="B35" s="3" t="s">
        <v>40</v>
      </c>
    </row>
    <row r="36" spans="1:15">
      <c r="B36" s="3" t="s">
        <v>846</v>
      </c>
    </row>
    <row r="37" spans="1:15" ht="3.75" customHeight="1">
      <c r="B37" s="25"/>
    </row>
    <row r="38" spans="1:15" ht="3.75" customHeight="1"/>
    <row r="39" spans="1:15" ht="3.75" customHeight="1"/>
    <row r="40" spans="1:15" ht="25.5" customHeight="1">
      <c r="B40" s="954"/>
      <c r="C40" s="953"/>
      <c r="D40" s="1"/>
      <c r="E40" s="953"/>
      <c r="F40" s="953"/>
      <c r="G40" s="1"/>
      <c r="O40"/>
    </row>
    <row r="41" spans="1:15">
      <c r="C41" s="1"/>
      <c r="D41" s="1"/>
      <c r="E41" s="1"/>
      <c r="G41" s="1"/>
      <c r="O41"/>
    </row>
    <row r="42" spans="1:15" s="193" customFormat="1" ht="17.25" customHeight="1">
      <c r="B42" s="193" t="s">
        <v>660</v>
      </c>
      <c r="D42" s="953"/>
      <c r="E42" s="953"/>
      <c r="H42" s="912"/>
    </row>
    <row r="43" spans="1:15" s="79" customFormat="1" ht="3.75" customHeight="1">
      <c r="H43" s="911"/>
    </row>
    <row r="44" spans="1:15" s="79" customFormat="1" ht="18" customHeight="1">
      <c r="A44" s="955" t="s">
        <v>664</v>
      </c>
      <c r="B44" s="895" t="str">
        <f ca="1">INDIRECT(H44,TRUE)</f>
        <v>AZA Perfs (Costs &amp; SceLife)</v>
      </c>
      <c r="C44" s="893"/>
      <c r="D44" s="893"/>
      <c r="E44" s="896">
        <f ca="1">OFFSET(INDIRECT(H44,TRUE),1,0)</f>
        <v>1</v>
      </c>
      <c r="H44" s="955" t="str">
        <f>CONCATENATE("'DropDown menus'!",A44,3)</f>
        <v>'DropDown menus'!L3</v>
      </c>
      <c r="I44" s="955"/>
      <c r="J44" s="955"/>
      <c r="K44" s="955"/>
    </row>
    <row r="45" spans="1:15" s="79" customFormat="1" ht="3.75" customHeight="1">
      <c r="A45" s="955"/>
      <c r="H45" s="955"/>
      <c r="I45" s="955"/>
      <c r="J45" s="955"/>
      <c r="K45" s="955"/>
    </row>
    <row r="46" spans="1:15" s="79" customFormat="1" ht="18" customHeight="1">
      <c r="A46" s="955" t="s">
        <v>667</v>
      </c>
      <c r="B46" s="895" t="str">
        <f ca="1">INDIRECT(H46,TRUE)</f>
        <v>AZA ZAB energy eff.</v>
      </c>
      <c r="C46" s="893"/>
      <c r="D46" s="893"/>
      <c r="E46" s="896">
        <f ca="1">OFFSET(INDIRECT(H46,TRUE),1,0)</f>
        <v>0.55000000000000004</v>
      </c>
      <c r="H46" s="955" t="str">
        <f>CONCATENATE("'DropDown menus'!",A46,3)</f>
        <v>'DropDown menus'!AI3</v>
      </c>
      <c r="I46" s="955"/>
      <c r="J46" s="955"/>
      <c r="K46" s="955"/>
    </row>
    <row r="47" spans="1:15" s="79" customFormat="1" ht="3.75" customHeight="1">
      <c r="A47" s="955"/>
      <c r="H47" s="955"/>
      <c r="I47" s="955"/>
      <c r="J47" s="955"/>
      <c r="K47" s="955"/>
    </row>
    <row r="48" spans="1:15" s="79" customFormat="1" ht="18" customHeight="1">
      <c r="A48" s="955" t="s">
        <v>665</v>
      </c>
      <c r="B48" s="895" t="str">
        <f ca="1">INDIRECT(H48,TRUE)</f>
        <v>Li-ion 2020 performance</v>
      </c>
      <c r="C48" s="893"/>
      <c r="D48" s="893"/>
      <c r="E48" s="896">
        <f ca="1">OFFSET(INDIRECT(H48,TRUE),1,0)</f>
        <v>1</v>
      </c>
      <c r="H48" s="955" t="str">
        <f>CONCATENATE("'DropDown menus'!",A48,3)</f>
        <v>'DropDown menus'!O3</v>
      </c>
      <c r="I48" s="955"/>
      <c r="J48" s="955"/>
      <c r="K48" s="955"/>
    </row>
    <row r="49" spans="1:11" s="79" customFormat="1" ht="3.75" customHeight="1">
      <c r="A49" s="955"/>
      <c r="H49" s="955"/>
      <c r="I49" s="955"/>
      <c r="J49" s="955"/>
      <c r="K49" s="955"/>
    </row>
    <row r="50" spans="1:11" s="79" customFormat="1" ht="18" customHeight="1">
      <c r="A50" s="955" t="s">
        <v>662</v>
      </c>
      <c r="B50" s="895" t="str">
        <f ca="1">INDIRECT(H50,TRUE)</f>
        <v>Inflation Rate</v>
      </c>
      <c r="C50" s="894"/>
      <c r="D50" s="893"/>
      <c r="E50" s="897">
        <f ca="1">OFFSET(INDIRECT(H50,TRUE),1,0)</f>
        <v>0.02</v>
      </c>
      <c r="H50" s="955" t="str">
        <f>CONCATENATE("'DropDown menus'!",A50,3)</f>
        <v>'DropDown menus'!F3</v>
      </c>
      <c r="I50" s="955"/>
      <c r="J50" s="955"/>
      <c r="K50" s="955"/>
    </row>
    <row r="51" spans="1:11" s="79" customFormat="1" ht="3.75" customHeight="1">
      <c r="A51" s="955"/>
      <c r="E51" s="898"/>
      <c r="H51" s="955"/>
      <c r="I51" s="955"/>
      <c r="J51" s="955"/>
      <c r="K51" s="955"/>
    </row>
    <row r="52" spans="1:11" s="79" customFormat="1" ht="18" customHeight="1">
      <c r="A52" s="955" t="s">
        <v>663</v>
      </c>
      <c r="B52" s="895" t="str">
        <f ca="1">INDIRECT(H52,TRUE)</f>
        <v>WACC nominal</v>
      </c>
      <c r="C52" s="893"/>
      <c r="D52" s="893"/>
      <c r="E52" s="897">
        <f ca="1">OFFSET(INDIRECT(H52,TRUE),1,0)</f>
        <v>0.04</v>
      </c>
      <c r="H52" s="955" t="str">
        <f>CONCATENATE("'DropDown menus'!",A52,3)</f>
        <v>'DropDown menus'!I3</v>
      </c>
      <c r="I52" s="955"/>
      <c r="J52" s="955"/>
      <c r="K52" s="955"/>
    </row>
    <row r="53" spans="1:11" s="79" customFormat="1" ht="3.75" customHeight="1">
      <c r="A53" s="955"/>
      <c r="E53" s="898"/>
      <c r="H53" s="955"/>
      <c r="I53" s="955"/>
      <c r="J53" s="955"/>
      <c r="K53" s="955"/>
    </row>
    <row r="54" spans="1:11" s="79" customFormat="1" ht="18" customHeight="1">
      <c r="A54" s="955" t="s">
        <v>666</v>
      </c>
      <c r="B54" s="895" t="str">
        <f ca="1">INDIRECT(H54,TRUE)</f>
        <v>PV OPEX/CAPEX</v>
      </c>
      <c r="C54" s="893"/>
      <c r="D54" s="893"/>
      <c r="E54" s="897">
        <f ca="1">OFFSET(INDIRECT(H54,TRUE),1,0)</f>
        <v>0.02</v>
      </c>
      <c r="H54" s="955" t="str">
        <f>CONCATENATE("'DropDown menus'!",A54,3)</f>
        <v>'DropDown menus'!AF3</v>
      </c>
      <c r="I54" s="955"/>
      <c r="J54" s="955"/>
      <c r="K54" s="955"/>
    </row>
    <row r="55" spans="1:11" s="79" customFormat="1" ht="3.75" customHeight="1">
      <c r="A55" s="955"/>
      <c r="H55" s="955"/>
      <c r="I55" s="955"/>
      <c r="J55" s="955"/>
      <c r="K55" s="955"/>
    </row>
    <row r="56" spans="1:11" s="79" customFormat="1" ht="18" customHeight="1">
      <c r="A56" s="955" t="s">
        <v>275</v>
      </c>
      <c r="B56" s="895" t="str">
        <f ca="1">INDIRECT(H56,TRUE)</f>
        <v>EUR2USD yearly progress</v>
      </c>
      <c r="C56" s="893"/>
      <c r="D56" s="893"/>
      <c r="E56" s="897">
        <f ca="1">OFFSET(INDIRECT(H56,TRUE),1,0)</f>
        <v>0</v>
      </c>
      <c r="H56" s="955" t="str">
        <f>CONCATENATE("'DropDown menus'!",A56,3)</f>
        <v>'DropDown menus'!C3</v>
      </c>
      <c r="I56" s="955"/>
      <c r="J56" s="955"/>
      <c r="K56" s="955"/>
    </row>
    <row r="57" spans="1:11" s="79" customFormat="1" ht="3.75" customHeight="1">
      <c r="A57" s="911"/>
      <c r="E57" s="898"/>
      <c r="H57" s="911"/>
    </row>
    <row r="58" spans="1:11" s="79" customFormat="1" ht="18" customHeight="1">
      <c r="A58" s="955" t="s">
        <v>685</v>
      </c>
      <c r="B58" s="895" t="str">
        <f ca="1">INDIRECT(G58,TRUE)</f>
        <v>PV Balance of System</v>
      </c>
      <c r="C58" s="893"/>
      <c r="D58" s="893"/>
      <c r="E58" s="968">
        <f ca="1">OFFSET(INDIRECT(G58,TRUE),1,0)</f>
        <v>125</v>
      </c>
      <c r="G58" s="955" t="str">
        <f>CONCATENATE("'DropDown menus'!",A58,3)</f>
        <v>'DropDown menus'!AO3</v>
      </c>
      <c r="H58" s="955"/>
      <c r="I58" s="955"/>
      <c r="J58" s="955"/>
    </row>
    <row r="59" spans="1:11" s="79" customFormat="1" ht="3.75" customHeight="1">
      <c r="A59" s="911"/>
      <c r="E59" s="898"/>
      <c r="H59" s="911"/>
    </row>
    <row r="60" spans="1:11" s="79" customFormat="1" ht="18" customHeight="1">
      <c r="A60" s="955" t="s">
        <v>685</v>
      </c>
      <c r="B60" s="895" t="s">
        <v>839</v>
      </c>
      <c r="C60" s="893"/>
      <c r="D60" s="1231" t="s">
        <v>842</v>
      </c>
      <c r="E60" s="1231"/>
      <c r="F60" s="896"/>
    </row>
  </sheetData>
  <mergeCells count="3">
    <mergeCell ref="L11:M11"/>
    <mergeCell ref="O11:O12"/>
    <mergeCell ref="L5:M6"/>
  </mergeCells>
  <pageMargins left="0.3" right="0.3" top="0.78749999999999998" bottom="1.05277777777778" header="0.51180555555555496" footer="0.78749999999999998"/>
  <pageSetup paperSize="9" scale="92" firstPageNumber="0"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Drop Down 1">
              <controlPr defaultSize="0" autoLine="0" autoPict="0">
                <anchor moveWithCells="1">
                  <from>
                    <xdr:col>14</xdr:col>
                    <xdr:colOff>101600</xdr:colOff>
                    <xdr:row>3</xdr:row>
                    <xdr:rowOff>63500</xdr:rowOff>
                  </from>
                  <to>
                    <xdr:col>15</xdr:col>
                    <xdr:colOff>495300</xdr:colOff>
                    <xdr:row>4</xdr:row>
                    <xdr:rowOff>76200</xdr:rowOff>
                  </to>
                </anchor>
              </controlPr>
            </control>
          </mc:Choice>
        </mc:AlternateContent>
        <mc:AlternateContent xmlns:mc="http://schemas.openxmlformats.org/markup-compatibility/2006">
          <mc:Choice Requires="x14">
            <control shapeId="61442" r:id="rId5" name="Drop Down 2">
              <controlPr defaultSize="0" autoLine="0" autoPict="0">
                <anchor moveWithCells="1">
                  <from>
                    <xdr:col>1</xdr:col>
                    <xdr:colOff>190500</xdr:colOff>
                    <xdr:row>39</xdr:row>
                    <xdr:rowOff>50800</xdr:rowOff>
                  </from>
                  <to>
                    <xdr:col>2</xdr:col>
                    <xdr:colOff>1054100</xdr:colOff>
                    <xdr:row>39</xdr:row>
                    <xdr:rowOff>292100</xdr:rowOff>
                  </to>
                </anchor>
              </controlPr>
            </control>
          </mc:Choice>
        </mc:AlternateContent>
        <mc:AlternateContent xmlns:mc="http://schemas.openxmlformats.org/markup-compatibility/2006">
          <mc:Choice Requires="x14">
            <control shapeId="61443" r:id="rId6" name="Drop Down 3">
              <controlPr defaultSize="0" autoLine="0" autoPict="0">
                <anchor moveWithCells="1">
                  <from>
                    <xdr:col>2</xdr:col>
                    <xdr:colOff>12700</xdr:colOff>
                    <xdr:row>53</xdr:row>
                    <xdr:rowOff>25400</xdr:rowOff>
                  </from>
                  <to>
                    <xdr:col>3</xdr:col>
                    <xdr:colOff>431800</xdr:colOff>
                    <xdr:row>53</xdr:row>
                    <xdr:rowOff>215900</xdr:rowOff>
                  </to>
                </anchor>
              </controlPr>
            </control>
          </mc:Choice>
        </mc:AlternateContent>
        <mc:AlternateContent xmlns:mc="http://schemas.openxmlformats.org/markup-compatibility/2006">
          <mc:Choice Requires="x14">
            <control shapeId="61444" r:id="rId7" name="Drop Down 4">
              <controlPr defaultSize="0" autoLine="0" autoPict="0">
                <anchor moveWithCells="1">
                  <from>
                    <xdr:col>2</xdr:col>
                    <xdr:colOff>12700</xdr:colOff>
                    <xdr:row>45</xdr:row>
                    <xdr:rowOff>25400</xdr:rowOff>
                  </from>
                  <to>
                    <xdr:col>3</xdr:col>
                    <xdr:colOff>431800</xdr:colOff>
                    <xdr:row>45</xdr:row>
                    <xdr:rowOff>215900</xdr:rowOff>
                  </to>
                </anchor>
              </controlPr>
            </control>
          </mc:Choice>
        </mc:AlternateContent>
        <mc:AlternateContent xmlns:mc="http://schemas.openxmlformats.org/markup-compatibility/2006">
          <mc:Choice Requires="x14">
            <control shapeId="61445" r:id="rId8" name="Drop Down 5">
              <controlPr defaultSize="0" autoLine="0" autoPict="0">
                <anchor moveWithCells="1">
                  <from>
                    <xdr:col>2</xdr:col>
                    <xdr:colOff>12700</xdr:colOff>
                    <xdr:row>47</xdr:row>
                    <xdr:rowOff>25400</xdr:rowOff>
                  </from>
                  <to>
                    <xdr:col>3</xdr:col>
                    <xdr:colOff>431800</xdr:colOff>
                    <xdr:row>47</xdr:row>
                    <xdr:rowOff>215900</xdr:rowOff>
                  </to>
                </anchor>
              </controlPr>
            </control>
          </mc:Choice>
        </mc:AlternateContent>
        <mc:AlternateContent xmlns:mc="http://schemas.openxmlformats.org/markup-compatibility/2006">
          <mc:Choice Requires="x14">
            <control shapeId="61446" r:id="rId9" name="Drop Down 6">
              <controlPr defaultSize="0" autoLine="0" autoPict="0">
                <anchor moveWithCells="1">
                  <from>
                    <xdr:col>2</xdr:col>
                    <xdr:colOff>12700</xdr:colOff>
                    <xdr:row>43</xdr:row>
                    <xdr:rowOff>25400</xdr:rowOff>
                  </from>
                  <to>
                    <xdr:col>3</xdr:col>
                    <xdr:colOff>431800</xdr:colOff>
                    <xdr:row>43</xdr:row>
                    <xdr:rowOff>203200</xdr:rowOff>
                  </to>
                </anchor>
              </controlPr>
            </control>
          </mc:Choice>
        </mc:AlternateContent>
        <mc:AlternateContent xmlns:mc="http://schemas.openxmlformats.org/markup-compatibility/2006">
          <mc:Choice Requires="x14">
            <control shapeId="61447" r:id="rId10" name="Drop Down 7">
              <controlPr defaultSize="0" autoLine="0" autoPict="0">
                <anchor moveWithCells="1">
                  <from>
                    <xdr:col>2</xdr:col>
                    <xdr:colOff>12700</xdr:colOff>
                    <xdr:row>49</xdr:row>
                    <xdr:rowOff>25400</xdr:rowOff>
                  </from>
                  <to>
                    <xdr:col>3</xdr:col>
                    <xdr:colOff>431800</xdr:colOff>
                    <xdr:row>49</xdr:row>
                    <xdr:rowOff>215900</xdr:rowOff>
                  </to>
                </anchor>
              </controlPr>
            </control>
          </mc:Choice>
        </mc:AlternateContent>
        <mc:AlternateContent xmlns:mc="http://schemas.openxmlformats.org/markup-compatibility/2006">
          <mc:Choice Requires="x14">
            <control shapeId="61448" r:id="rId11" name="Drop Down 8">
              <controlPr defaultSize="0" autoLine="0" autoPict="0">
                <anchor moveWithCells="1">
                  <from>
                    <xdr:col>2</xdr:col>
                    <xdr:colOff>12700</xdr:colOff>
                    <xdr:row>51</xdr:row>
                    <xdr:rowOff>38100</xdr:rowOff>
                  </from>
                  <to>
                    <xdr:col>3</xdr:col>
                    <xdr:colOff>431800</xdr:colOff>
                    <xdr:row>51</xdr:row>
                    <xdr:rowOff>215900</xdr:rowOff>
                  </to>
                </anchor>
              </controlPr>
            </control>
          </mc:Choice>
        </mc:AlternateContent>
        <mc:AlternateContent xmlns:mc="http://schemas.openxmlformats.org/markup-compatibility/2006">
          <mc:Choice Requires="x14">
            <control shapeId="61449" r:id="rId12" name="Drop Down 9">
              <controlPr defaultSize="0" autoLine="0" autoPict="0">
                <anchor moveWithCells="1">
                  <from>
                    <xdr:col>2</xdr:col>
                    <xdr:colOff>12700</xdr:colOff>
                    <xdr:row>55</xdr:row>
                    <xdr:rowOff>25400</xdr:rowOff>
                  </from>
                  <to>
                    <xdr:col>3</xdr:col>
                    <xdr:colOff>431800</xdr:colOff>
                    <xdr:row>55</xdr:row>
                    <xdr:rowOff>215900</xdr:rowOff>
                  </to>
                </anchor>
              </controlPr>
            </control>
          </mc:Choice>
        </mc:AlternateContent>
        <mc:AlternateContent xmlns:mc="http://schemas.openxmlformats.org/markup-compatibility/2006">
          <mc:Choice Requires="x14">
            <control shapeId="61450" r:id="rId13" name="Button 10">
              <controlPr defaultSize="0" print="0" autoFill="0" autoPict="0" macro="[0]!SET_NOMINAL_options">
                <anchor moveWithCells="1" sizeWithCells="1">
                  <from>
                    <xdr:col>3</xdr:col>
                    <xdr:colOff>114300</xdr:colOff>
                    <xdr:row>41</xdr:row>
                    <xdr:rowOff>38100</xdr:rowOff>
                  </from>
                  <to>
                    <xdr:col>4</xdr:col>
                    <xdr:colOff>533400</xdr:colOff>
                    <xdr:row>41</xdr:row>
                    <xdr:rowOff>203200</xdr:rowOff>
                  </to>
                </anchor>
              </controlPr>
            </control>
          </mc:Choice>
        </mc:AlternateContent>
        <mc:AlternateContent xmlns:mc="http://schemas.openxmlformats.org/markup-compatibility/2006">
          <mc:Choice Requires="x14">
            <control shapeId="61453" r:id="rId14" name="Drop Down 13">
              <controlPr defaultSize="0" autoLine="0" autoPict="0">
                <anchor moveWithCells="1">
                  <from>
                    <xdr:col>4</xdr:col>
                    <xdr:colOff>101600</xdr:colOff>
                    <xdr:row>39</xdr:row>
                    <xdr:rowOff>63500</xdr:rowOff>
                  </from>
                  <to>
                    <xdr:col>5</xdr:col>
                    <xdr:colOff>266700</xdr:colOff>
                    <xdr:row>39</xdr:row>
                    <xdr:rowOff>279400</xdr:rowOff>
                  </to>
                </anchor>
              </controlPr>
            </control>
          </mc:Choice>
        </mc:AlternateContent>
        <mc:AlternateContent xmlns:mc="http://schemas.openxmlformats.org/markup-compatibility/2006">
          <mc:Choice Requires="x14">
            <control shapeId="61454" r:id="rId15" name="Drop Down 14">
              <controlPr defaultSize="0" autoLine="0" autoPict="0">
                <anchor moveWithCells="1">
                  <from>
                    <xdr:col>14</xdr:col>
                    <xdr:colOff>88900</xdr:colOff>
                    <xdr:row>5</xdr:row>
                    <xdr:rowOff>63500</xdr:rowOff>
                  </from>
                  <to>
                    <xdr:col>16</xdr:col>
                    <xdr:colOff>330200</xdr:colOff>
                    <xdr:row>5</xdr:row>
                    <xdr:rowOff>254000</xdr:rowOff>
                  </to>
                </anchor>
              </controlPr>
            </control>
          </mc:Choice>
        </mc:AlternateContent>
        <mc:AlternateContent xmlns:mc="http://schemas.openxmlformats.org/markup-compatibility/2006">
          <mc:Choice Requires="x14">
            <control shapeId="61455" r:id="rId16" name="Drop Down 15">
              <controlPr defaultSize="0" autoLine="0" autoPict="0">
                <anchor moveWithCells="1">
                  <from>
                    <xdr:col>1</xdr:col>
                    <xdr:colOff>1473200</xdr:colOff>
                    <xdr:row>57</xdr:row>
                    <xdr:rowOff>25400</xdr:rowOff>
                  </from>
                  <to>
                    <xdr:col>3</xdr:col>
                    <xdr:colOff>419100</xdr:colOff>
                    <xdr:row>57</xdr:row>
                    <xdr:rowOff>215900</xdr:rowOff>
                  </to>
                </anchor>
              </controlPr>
            </control>
          </mc:Choice>
        </mc:AlternateContent>
        <mc:AlternateContent xmlns:mc="http://schemas.openxmlformats.org/markup-compatibility/2006">
          <mc:Choice Requires="x14">
            <control shapeId="61456" r:id="rId17" name="Drop Down 16">
              <controlPr defaultSize="0" autoLine="0" autoPict="0">
                <anchor moveWithCells="1">
                  <from>
                    <xdr:col>1</xdr:col>
                    <xdr:colOff>723900</xdr:colOff>
                    <xdr:row>59</xdr:row>
                    <xdr:rowOff>25400</xdr:rowOff>
                  </from>
                  <to>
                    <xdr:col>2</xdr:col>
                    <xdr:colOff>863600</xdr:colOff>
                    <xdr:row>59</xdr:row>
                    <xdr:rowOff>215900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FF00"/>
  </sheetPr>
  <dimension ref="A2:K50"/>
  <sheetViews>
    <sheetView zoomScale="90" zoomScaleNormal="90" workbookViewId="0">
      <selection activeCell="H35" sqref="H35"/>
    </sheetView>
  </sheetViews>
  <sheetFormatPr baseColWidth="10" defaultColWidth="8.83203125" defaultRowHeight="13"/>
  <cols>
    <col min="1" max="1" width="2.6640625" customWidth="1"/>
    <col min="2" max="2" width="37.5" customWidth="1"/>
    <col min="3" max="5" width="13.6640625" style="1" customWidth="1"/>
    <col min="6" max="6" width="1.5" customWidth="1"/>
    <col min="7" max="7" width="13.6640625" style="1" customWidth="1"/>
    <col min="8" max="8" width="13.6640625" customWidth="1"/>
    <col min="9" max="9" width="1.5" customWidth="1"/>
  </cols>
  <sheetData>
    <row r="2" spans="2:10">
      <c r="B2" s="3" t="s">
        <v>12</v>
      </c>
    </row>
    <row r="3" spans="2:10">
      <c r="B3" s="3" t="s">
        <v>13</v>
      </c>
    </row>
    <row r="4" spans="2:10">
      <c r="B4" s="3"/>
    </row>
    <row r="5" spans="2:10">
      <c r="B5" s="24">
        <v>1000</v>
      </c>
      <c r="C5" s="24" t="s">
        <v>231</v>
      </c>
    </row>
    <row r="6" spans="2:10" s="364" customFormat="1" ht="12">
      <c r="B6" s="363">
        <f>B5/'TCO Solar Farm-Containers'!$E$5</f>
        <v>6.666666666666667</v>
      </c>
      <c r="C6" s="364" t="s">
        <v>230</v>
      </c>
      <c r="D6" s="365"/>
      <c r="E6" s="365"/>
      <c r="G6" s="365"/>
    </row>
    <row r="7" spans="2:10" s="364" customFormat="1" ht="4.5" customHeight="1">
      <c r="B7" s="363"/>
      <c r="D7" s="365"/>
      <c r="E7" s="365"/>
      <c r="G7" s="365"/>
    </row>
    <row r="8" spans="2:10" s="364" customFormat="1" ht="4.5" customHeight="1">
      <c r="B8" s="363"/>
      <c r="D8" s="365"/>
      <c r="E8" s="365"/>
      <c r="G8" s="365"/>
    </row>
    <row r="9" spans="2:10" ht="4.5" customHeight="1"/>
    <row r="10" spans="2:10" ht="17.25" customHeight="1">
      <c r="D10" s="1476" t="str">
        <f>CONCATENATE('DropDown menus'!U11," comparison")</f>
        <v>2023 comparison</v>
      </c>
      <c r="E10" s="1476"/>
      <c r="G10" s="1476" t="str">
        <f>CONCATENATE('DropDown menus'!U12," comparison")</f>
        <v>2028 comparison</v>
      </c>
      <c r="H10" s="1476"/>
    </row>
    <row r="11" spans="2:10" s="793" customFormat="1" ht="9" customHeight="1">
      <c r="B11" s="793" t="s">
        <v>602</v>
      </c>
      <c r="C11" s="794">
        <v>0</v>
      </c>
      <c r="D11" s="795">
        <v>1</v>
      </c>
      <c r="E11" s="795">
        <v>3</v>
      </c>
      <c r="G11" s="795">
        <v>2</v>
      </c>
      <c r="H11" s="795">
        <v>4</v>
      </c>
    </row>
    <row r="12" spans="2:10">
      <c r="B12" s="368" t="s">
        <v>228</v>
      </c>
      <c r="C12" s="369" t="s">
        <v>14</v>
      </c>
      <c r="D12" s="369" t="s">
        <v>4</v>
      </c>
      <c r="E12" s="369" t="s">
        <v>15</v>
      </c>
      <c r="G12" s="369" t="s">
        <v>4</v>
      </c>
      <c r="H12" s="369" t="s">
        <v>15</v>
      </c>
    </row>
    <row r="13" spans="2:10">
      <c r="B13" s="370" t="s">
        <v>16</v>
      </c>
      <c r="C13" s="371">
        <f ca="1">OFFSET('TCO Solar Farm-Containers'!$E$67,0,C$11)*ratio_vs_simul</f>
        <v>1333.3333333333335</v>
      </c>
      <c r="D13" s="371">
        <f ca="1">OFFSET('TCO Solar Farm-Containers'!$E$67,0,D$11)*ratio_vs_simul</f>
        <v>784.31372549019613</v>
      </c>
      <c r="E13" s="371">
        <f ca="1">OFFSET('TCO Solar Farm-Containers'!$E$67,0,E$11)*ratio_vs_simul</f>
        <v>1031.746031746032</v>
      </c>
      <c r="G13" s="371">
        <f ca="1">OFFSET('TCO Solar Farm-Containers'!$E$67,0,G$11)*ratio_vs_simul</f>
        <v>784.31372549019613</v>
      </c>
      <c r="H13" s="371">
        <f ca="1">OFFSET('TCO Solar Farm-Containers'!$E$67,0,H$11)*ratio_vs_simul</f>
        <v>619.04761904761915</v>
      </c>
    </row>
    <row r="14" spans="2:10">
      <c r="B14" s="370" t="s">
        <v>17</v>
      </c>
      <c r="C14" s="372">
        <f ca="1">OFFSET('TCO Solar Farm-Containers'!$E$68,0,C$11)*ratio_vs_simul</f>
        <v>53333.333333333343</v>
      </c>
      <c r="D14" s="372">
        <f ca="1">OFFSET('TCO Solar Farm-Containers'!$E$68,0,D$11)*ratio_vs_simul</f>
        <v>9803.9215686274529</v>
      </c>
      <c r="E14" s="372">
        <f ca="1">OFFSET('TCO Solar Farm-Containers'!$E$68,0,E$11)*ratio_vs_simul</f>
        <v>21340.388007054684</v>
      </c>
      <c r="G14" s="372">
        <f ca="1">OFFSET('TCO Solar Farm-Containers'!$E$68,0,G$11)*ratio_vs_simul</f>
        <v>8714.596949891069</v>
      </c>
      <c r="H14" s="372">
        <f ca="1">OFFSET('TCO Solar Farm-Containers'!$E$68,0,H$11)*ratio_vs_simul</f>
        <v>11523.809523809528</v>
      </c>
      <c r="J14" s="394" t="s">
        <v>233</v>
      </c>
    </row>
    <row r="15" spans="2:10">
      <c r="B15" s="370" t="s">
        <v>385</v>
      </c>
      <c r="C15" s="373">
        <f ca="1">OFFSET('TCO Solar Farm-Containers'!$E$30,0,C$11)</f>
        <v>25</v>
      </c>
      <c r="D15" s="373">
        <f ca="1">OFFSET('TCO Solar Farm-Containers'!$E$30,0,D$11)</f>
        <v>80</v>
      </c>
      <c r="E15" s="373">
        <f ca="1">OFFSET('TCO Solar Farm-Containers'!$E$30,0,E$11)</f>
        <v>48.347107438016515</v>
      </c>
      <c r="G15" s="373">
        <f ca="1">OFFSET('TCO Solar Farm-Containers'!$E$30,0,G$11)</f>
        <v>90</v>
      </c>
      <c r="H15" s="373">
        <f ca="1">OFFSET('TCO Solar Farm-Containers'!$E$30,0,H$11)</f>
        <v>53.719008264462794</v>
      </c>
      <c r="J15" s="394"/>
    </row>
    <row r="16" spans="2:10">
      <c r="B16" s="370" t="s">
        <v>384</v>
      </c>
      <c r="C16" s="792">
        <f ca="1">OFFSET('TCO Solar Farm-Containers'!$E$32,0,C$11)</f>
        <v>12.5</v>
      </c>
      <c r="D16" s="792">
        <f ca="1">OFFSET('TCO Solar Farm-Containers'!$E$32,0,D$11)</f>
        <v>40</v>
      </c>
      <c r="E16" s="792">
        <f ca="1">OFFSET('TCO Solar Farm-Containers'!$E$32,0,E$11)</f>
        <v>17.164029348071178</v>
      </c>
      <c r="G16" s="792">
        <f ca="1">OFFSET('TCO Solar Farm-Containers'!$E$32,0,G$11)</f>
        <v>45</v>
      </c>
      <c r="H16" s="792">
        <f ca="1">OFFSET('TCO Solar Farm-Containers'!$E$32,0,H$11)</f>
        <v>20.074888126399038</v>
      </c>
      <c r="J16" s="394"/>
    </row>
    <row r="17" spans="2:10">
      <c r="B17" s="370" t="s">
        <v>19</v>
      </c>
      <c r="C17" s="374">
        <f t="shared" ref="C17:E17" ca="1" si="0">C13/C16*1000</f>
        <v>106666.66666666669</v>
      </c>
      <c r="D17" s="374">
        <f t="shared" ca="1" si="0"/>
        <v>19607.843137254902</v>
      </c>
      <c r="E17" s="374">
        <f t="shared" ca="1" si="0"/>
        <v>60110.945444286095</v>
      </c>
      <c r="G17" s="374">
        <f ca="1">G13/G16*1000</f>
        <v>17429.193899782134</v>
      </c>
      <c r="H17" s="374">
        <f ca="1">H13/H16*1000</f>
        <v>30836.915012918766</v>
      </c>
      <c r="J17" s="394" t="s">
        <v>233</v>
      </c>
    </row>
    <row r="18" spans="2:10">
      <c r="B18" s="18" t="s">
        <v>604</v>
      </c>
      <c r="C18" s="366">
        <f ca="1">OFFSET('TCO Solar Farm-Containers'!$E$87,0,C$11)*ratio_vs_simul</f>
        <v>1038281.2115246883</v>
      </c>
      <c r="D18" s="366">
        <f ca="1">OFFSET('TCO Solar Farm-Containers'!$E$87,0,D$11)*ratio_vs_simul</f>
        <v>402595.22349885129</v>
      </c>
      <c r="E18" s="366">
        <f ca="1">OFFSET('TCO Solar Farm-Containers'!$E$87,0,E$11)*ratio_vs_simul</f>
        <v>367840.79181783757</v>
      </c>
      <c r="G18" s="366">
        <f ca="1">OFFSET('TCO Solar Farm-Containers'!$E$87,0,G$11)*ratio_vs_simul</f>
        <v>325656.94496915251</v>
      </c>
      <c r="H18" s="366">
        <f ca="1">OFFSET('TCO Solar Farm-Containers'!$E$87,0,H$11)*ratio_vs_simul</f>
        <v>239660.88527764913</v>
      </c>
      <c r="J18" s="394" t="s">
        <v>243</v>
      </c>
    </row>
    <row r="19" spans="2:10">
      <c r="B19" s="19" t="str">
        <f>'TCO Solar Farm-Containers'!C89</f>
        <v>TCO (20 years)</v>
      </c>
      <c r="C19" s="367">
        <f ca="1">OFFSET('TCO Solar Farm-Containers'!$E$89,0,C$11)*ratio_vs_simul</f>
        <v>1164924.4815492581</v>
      </c>
      <c r="D19" s="367">
        <f ca="1">OFFSET('TCO Solar Farm-Containers'!$E$89,0,D$11)*ratio_vs_simul</f>
        <v>504287.21711223939</v>
      </c>
      <c r="E19" s="367">
        <f ca="1">OFFSET('TCO Solar Farm-Containers'!$E$89,0,E$11)*ratio_vs_simul</f>
        <v>466406.04308775812</v>
      </c>
      <c r="G19" s="367">
        <f ca="1">OFFSET('TCO Solar Farm-Containers'!$E$89,0,G$11)*ratio_vs_simul</f>
        <v>410329.14013522095</v>
      </c>
      <c r="H19" s="367">
        <f ca="1">OFFSET('TCO Solar Farm-Containers'!$E$89,0,H$11)*ratio_vs_simul</f>
        <v>314387.87682058575</v>
      </c>
    </row>
    <row r="20" spans="2:10">
      <c r="B20" s="19" t="s">
        <v>232</v>
      </c>
      <c r="C20" s="807">
        <f ca="1">OFFSET('TCO Solar Farm-Containers'!$E$116,0,C$11)</f>
        <v>0.16179506688184142</v>
      </c>
      <c r="D20" s="807">
        <f ca="1">OFFSET('TCO Solar Farm-Containers'!$E$116,0,D$11)</f>
        <v>7.0039891265588794E-2</v>
      </c>
      <c r="E20" s="807">
        <f ca="1">OFFSET('TCO Solar Farm-Containers'!$E$116,0,E$11)</f>
        <v>6.4778617095521962E-2</v>
      </c>
      <c r="G20" s="807">
        <f ca="1">OFFSET('TCO Solar Farm-Containers'!$E$116,0,G$11)</f>
        <v>5.6990158352114025E-2</v>
      </c>
      <c r="H20" s="807">
        <f ca="1">OFFSET('TCO Solar Farm-Containers'!$E$116,0,H$11)</f>
        <v>4.3664982891748021E-2</v>
      </c>
    </row>
    <row r="21" spans="2:10">
      <c r="B21" s="20" t="s">
        <v>20</v>
      </c>
      <c r="C21" s="21" t="s">
        <v>21</v>
      </c>
      <c r="D21" s="21" t="s">
        <v>22</v>
      </c>
      <c r="E21" s="21" t="s">
        <v>23</v>
      </c>
      <c r="G21" s="21" t="s">
        <v>22</v>
      </c>
      <c r="H21" s="21" t="s">
        <v>23</v>
      </c>
    </row>
    <row r="22" spans="2:10">
      <c r="B22" s="20" t="s">
        <v>24</v>
      </c>
      <c r="C22" s="21" t="s">
        <v>25</v>
      </c>
      <c r="D22" s="21" t="s">
        <v>26</v>
      </c>
      <c r="E22" s="21" t="s">
        <v>27</v>
      </c>
      <c r="G22" s="21" t="s">
        <v>26</v>
      </c>
      <c r="H22" s="21" t="s">
        <v>27</v>
      </c>
    </row>
    <row r="23" spans="2:10">
      <c r="B23" s="20" t="s">
        <v>28</v>
      </c>
      <c r="C23" s="21" t="s">
        <v>29</v>
      </c>
      <c r="D23" s="21" t="s">
        <v>30</v>
      </c>
      <c r="E23" s="21" t="s">
        <v>31</v>
      </c>
      <c r="G23" s="21" t="s">
        <v>30</v>
      </c>
      <c r="H23" s="21" t="s">
        <v>31</v>
      </c>
    </row>
    <row r="24" spans="2:10">
      <c r="B24" s="20" t="s">
        <v>32</v>
      </c>
      <c r="C24" s="21" t="s">
        <v>33</v>
      </c>
      <c r="D24" s="21" t="s">
        <v>34</v>
      </c>
      <c r="E24" s="21" t="s">
        <v>33</v>
      </c>
      <c r="G24" s="21" t="s">
        <v>34</v>
      </c>
      <c r="H24" s="21" t="s">
        <v>33</v>
      </c>
    </row>
    <row r="25" spans="2:10">
      <c r="B25" s="22" t="s">
        <v>35</v>
      </c>
      <c r="C25" s="23" t="s">
        <v>36</v>
      </c>
      <c r="D25" s="23" t="s">
        <v>37</v>
      </c>
      <c r="E25" s="23" t="s">
        <v>36</v>
      </c>
      <c r="G25" s="23" t="s">
        <v>37</v>
      </c>
      <c r="H25" s="23" t="s">
        <v>36</v>
      </c>
    </row>
    <row r="27" spans="2:10">
      <c r="B27" s="382" t="s">
        <v>603</v>
      </c>
    </row>
    <row r="28" spans="2:10">
      <c r="B28" s="969"/>
      <c r="C28" s="969"/>
      <c r="D28" s="969"/>
      <c r="E28" s="969"/>
    </row>
    <row r="30" spans="2:10" ht="25.5" customHeight="1">
      <c r="B30" s="954"/>
    </row>
    <row r="32" spans="2:10" s="193" customFormat="1" ht="17.25" customHeight="1">
      <c r="B32" s="193" t="s">
        <v>660</v>
      </c>
      <c r="D32" s="953"/>
      <c r="E32" s="953"/>
      <c r="H32" s="912"/>
    </row>
    <row r="33" spans="1:11" s="79" customFormat="1" ht="3.75" customHeight="1">
      <c r="H33" s="911"/>
    </row>
    <row r="34" spans="1:11" s="79" customFormat="1" ht="18" customHeight="1">
      <c r="A34" s="955" t="s">
        <v>664</v>
      </c>
      <c r="B34" s="895" t="str">
        <f ca="1">INDIRECT(H34,TRUE)</f>
        <v>AZA Perfs (Costs &amp; SceLife)</v>
      </c>
      <c r="C34" s="893"/>
      <c r="D34" s="893"/>
      <c r="E34" s="896">
        <f ca="1">OFFSET(INDIRECT(H34,TRUE),1,0)</f>
        <v>1</v>
      </c>
      <c r="H34" s="955" t="str">
        <f>CONCATENATE("'DropDown menus'!",A34,3)</f>
        <v>'DropDown menus'!L3</v>
      </c>
    </row>
    <row r="35" spans="1:11" s="79" customFormat="1" ht="3.75" customHeight="1">
      <c r="A35" s="955"/>
      <c r="H35" s="955"/>
    </row>
    <row r="36" spans="1:11" s="79" customFormat="1" ht="18" customHeight="1">
      <c r="A36" s="955" t="s">
        <v>667</v>
      </c>
      <c r="B36" s="895" t="str">
        <f ca="1">INDIRECT(H36,TRUE)</f>
        <v>AZA ZAB energy eff.</v>
      </c>
      <c r="C36" s="893"/>
      <c r="D36" s="893"/>
      <c r="E36" s="896">
        <f ca="1">OFFSET(INDIRECT(H36,TRUE),1,0)</f>
        <v>0.55000000000000004</v>
      </c>
      <c r="H36" s="955" t="str">
        <f>CONCATENATE("'DropDown menus'!",A36,3)</f>
        <v>'DropDown menus'!AI3</v>
      </c>
    </row>
    <row r="37" spans="1:11" s="79" customFormat="1" ht="3.75" customHeight="1">
      <c r="A37" s="955"/>
      <c r="H37" s="955"/>
    </row>
    <row r="38" spans="1:11" s="79" customFormat="1" ht="18" customHeight="1">
      <c r="A38" s="955" t="s">
        <v>665</v>
      </c>
      <c r="B38" s="895" t="str">
        <f ca="1">INDIRECT(H38,TRUE)</f>
        <v>Li-ion 2020 performance</v>
      </c>
      <c r="C38" s="893"/>
      <c r="D38" s="893"/>
      <c r="E38" s="896">
        <f ca="1">OFFSET(INDIRECT(H38,TRUE),1,0)</f>
        <v>1</v>
      </c>
      <c r="H38" s="955" t="str">
        <f>CONCATENATE("'DropDown menus'!",A38,3)</f>
        <v>'DropDown menus'!O3</v>
      </c>
    </row>
    <row r="39" spans="1:11" s="79" customFormat="1" ht="3.75" customHeight="1">
      <c r="A39" s="955"/>
      <c r="H39" s="955"/>
    </row>
    <row r="40" spans="1:11" s="79" customFormat="1" ht="18" customHeight="1">
      <c r="A40" s="955" t="s">
        <v>662</v>
      </c>
      <c r="B40" s="895" t="str">
        <f ca="1">INDIRECT(H40,TRUE)</f>
        <v>Inflation Rate</v>
      </c>
      <c r="C40" s="894"/>
      <c r="D40" s="893"/>
      <c r="E40" s="897">
        <f ca="1">OFFSET(INDIRECT(H40,TRUE),1,0)</f>
        <v>0.02</v>
      </c>
      <c r="H40" s="955" t="str">
        <f>CONCATENATE("'DropDown menus'!",A40,3)</f>
        <v>'DropDown menus'!F3</v>
      </c>
    </row>
    <row r="41" spans="1:11" s="79" customFormat="1" ht="3.75" customHeight="1">
      <c r="A41" s="955"/>
      <c r="E41" s="898"/>
      <c r="H41" s="955"/>
    </row>
    <row r="42" spans="1:11" s="79" customFormat="1" ht="18" customHeight="1">
      <c r="A42" s="955" t="s">
        <v>663</v>
      </c>
      <c r="B42" s="895" t="str">
        <f ca="1">INDIRECT(H42,TRUE)</f>
        <v>WACC nominal</v>
      </c>
      <c r="C42" s="893"/>
      <c r="D42" s="893"/>
      <c r="E42" s="897">
        <f ca="1">OFFSET(INDIRECT(H42,TRUE),1,0)</f>
        <v>0.04</v>
      </c>
      <c r="H42" s="955" t="str">
        <f>CONCATENATE("'DropDown menus'!",A42,3)</f>
        <v>'DropDown menus'!I3</v>
      </c>
    </row>
    <row r="43" spans="1:11" s="79" customFormat="1" ht="3.75" customHeight="1">
      <c r="A43" s="955"/>
      <c r="E43" s="898"/>
      <c r="H43" s="955"/>
    </row>
    <row r="44" spans="1:11" s="79" customFormat="1" ht="18" customHeight="1">
      <c r="A44" s="955" t="s">
        <v>666</v>
      </c>
      <c r="B44" s="895" t="str">
        <f ca="1">INDIRECT(H44,TRUE)</f>
        <v>PV OPEX/CAPEX</v>
      </c>
      <c r="C44" s="893"/>
      <c r="D44" s="893"/>
      <c r="E44" s="897">
        <f ca="1">OFFSET(INDIRECT(H44,TRUE),1,0)</f>
        <v>0.02</v>
      </c>
      <c r="H44" s="955" t="str">
        <f>CONCATENATE("'DropDown menus'!",A44,3)</f>
        <v>'DropDown menus'!AF3</v>
      </c>
    </row>
    <row r="45" spans="1:11" s="79" customFormat="1" ht="3.75" customHeight="1">
      <c r="A45" s="955"/>
      <c r="H45" s="955"/>
    </row>
    <row r="46" spans="1:11" s="79" customFormat="1" ht="18" customHeight="1">
      <c r="A46" s="955" t="s">
        <v>275</v>
      </c>
      <c r="B46" s="895" t="str">
        <f ca="1">INDIRECT(H46,TRUE)</f>
        <v>EUR2USD yearly progress</v>
      </c>
      <c r="C46" s="893"/>
      <c r="D46" s="893"/>
      <c r="E46" s="897">
        <f ca="1">OFFSET(INDIRECT(H46,TRUE),1,0)</f>
        <v>0</v>
      </c>
      <c r="H46" s="955" t="str">
        <f>CONCATENATE("'DropDown menus'!",A46,3)</f>
        <v>'DropDown menus'!C3</v>
      </c>
    </row>
    <row r="47" spans="1:11" s="79" customFormat="1" ht="3.75" customHeight="1">
      <c r="A47" s="955"/>
      <c r="E47" s="898"/>
      <c r="H47" s="955"/>
    </row>
    <row r="48" spans="1:11" s="79" customFormat="1" ht="18" customHeight="1">
      <c r="A48" s="955" t="s">
        <v>685</v>
      </c>
      <c r="B48" s="895" t="str">
        <f ca="1">INDIRECT(H48,TRUE)</f>
        <v>PV Balance of System</v>
      </c>
      <c r="C48" s="893"/>
      <c r="D48" s="893"/>
      <c r="E48" s="966">
        <f ca="1">OFFSET(INDIRECT(H48,TRUE),1,0)</f>
        <v>125</v>
      </c>
      <c r="H48" s="955" t="str">
        <f>CONCATENATE("'DropDown menus'!",A48,3)</f>
        <v>'DropDown menus'!AO3</v>
      </c>
      <c r="I48" s="955"/>
      <c r="J48" s="955"/>
      <c r="K48" s="955"/>
    </row>
    <row r="49" spans="1:8" s="79" customFormat="1" ht="3.75" customHeight="1">
      <c r="A49" s="911"/>
      <c r="E49" s="898"/>
      <c r="H49" s="911"/>
    </row>
    <row r="50" spans="1:8" s="79" customFormat="1" ht="18" customHeight="1">
      <c r="A50" s="955" t="s">
        <v>685</v>
      </c>
      <c r="B50" s="895" t="s">
        <v>839</v>
      </c>
      <c r="C50" s="893"/>
      <c r="D50" s="1477" t="s">
        <v>840</v>
      </c>
      <c r="E50" s="1477"/>
    </row>
  </sheetData>
  <mergeCells count="3">
    <mergeCell ref="D10:E10"/>
    <mergeCell ref="G10:H10"/>
    <mergeCell ref="D50:E50"/>
  </mergeCells>
  <pageMargins left="0.78749999999999998" right="0.78749999999999998" top="1.05277777777778" bottom="1.05277777777778" header="0.78749999999999998" footer="0.78749999999999998"/>
  <pageSetup paperSize="9" firstPageNumber="0" orientation="portrait" r:id="rId1"/>
  <headerFooter>
    <oddHeader>&amp;C&amp;"Times New Roman,Regular"&amp;12&amp;A</oddHeader>
    <oddFooter>&amp;C&amp;"Times New Roman,Regular"&amp;12Page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6" r:id="rId4" name="Drop Down 4">
              <controlPr defaultSize="0" autoLine="0" autoPict="0">
                <anchor moveWithCells="1">
                  <from>
                    <xdr:col>1</xdr:col>
                    <xdr:colOff>76200</xdr:colOff>
                    <xdr:row>29</xdr:row>
                    <xdr:rowOff>38100</xdr:rowOff>
                  </from>
                  <to>
                    <xdr:col>1</xdr:col>
                    <xdr:colOff>2451100</xdr:colOff>
                    <xdr:row>29</xdr:row>
                    <xdr:rowOff>292100</xdr:rowOff>
                  </to>
                </anchor>
              </controlPr>
            </control>
          </mc:Choice>
        </mc:AlternateContent>
        <mc:AlternateContent xmlns:mc="http://schemas.openxmlformats.org/markup-compatibility/2006">
          <mc:Choice Requires="x14">
            <control shapeId="44037" r:id="rId5" name="Drop Down 5">
              <controlPr defaultSize="0" autoLine="0" autoPict="0">
                <anchor moveWithCells="1">
                  <from>
                    <xdr:col>1</xdr:col>
                    <xdr:colOff>1587500</xdr:colOff>
                    <xdr:row>43</xdr:row>
                    <xdr:rowOff>25400</xdr:rowOff>
                  </from>
                  <to>
                    <xdr:col>3</xdr:col>
                    <xdr:colOff>0</xdr:colOff>
                    <xdr:row>43</xdr:row>
                    <xdr:rowOff>215900</xdr:rowOff>
                  </to>
                </anchor>
              </controlPr>
            </control>
          </mc:Choice>
        </mc:AlternateContent>
        <mc:AlternateContent xmlns:mc="http://schemas.openxmlformats.org/markup-compatibility/2006">
          <mc:Choice Requires="x14">
            <control shapeId="44038" r:id="rId6" name="Drop Down 6">
              <controlPr defaultSize="0" autoLine="0" autoPict="0">
                <anchor moveWithCells="1">
                  <from>
                    <xdr:col>1</xdr:col>
                    <xdr:colOff>1587500</xdr:colOff>
                    <xdr:row>35</xdr:row>
                    <xdr:rowOff>25400</xdr:rowOff>
                  </from>
                  <to>
                    <xdr:col>3</xdr:col>
                    <xdr:colOff>0</xdr:colOff>
                    <xdr:row>35</xdr:row>
                    <xdr:rowOff>215900</xdr:rowOff>
                  </to>
                </anchor>
              </controlPr>
            </control>
          </mc:Choice>
        </mc:AlternateContent>
        <mc:AlternateContent xmlns:mc="http://schemas.openxmlformats.org/markup-compatibility/2006">
          <mc:Choice Requires="x14">
            <control shapeId="44039" r:id="rId7" name="Drop Down 7">
              <controlPr defaultSize="0" autoLine="0" autoPict="0">
                <anchor moveWithCells="1">
                  <from>
                    <xdr:col>1</xdr:col>
                    <xdr:colOff>1587500</xdr:colOff>
                    <xdr:row>37</xdr:row>
                    <xdr:rowOff>25400</xdr:rowOff>
                  </from>
                  <to>
                    <xdr:col>3</xdr:col>
                    <xdr:colOff>0</xdr:colOff>
                    <xdr:row>37</xdr:row>
                    <xdr:rowOff>215900</xdr:rowOff>
                  </to>
                </anchor>
              </controlPr>
            </control>
          </mc:Choice>
        </mc:AlternateContent>
        <mc:AlternateContent xmlns:mc="http://schemas.openxmlformats.org/markup-compatibility/2006">
          <mc:Choice Requires="x14">
            <control shapeId="44040" r:id="rId8" name="Drop Down 8">
              <controlPr defaultSize="0" autoLine="0" autoPict="0">
                <anchor moveWithCells="1">
                  <from>
                    <xdr:col>1</xdr:col>
                    <xdr:colOff>1587500</xdr:colOff>
                    <xdr:row>33</xdr:row>
                    <xdr:rowOff>25400</xdr:rowOff>
                  </from>
                  <to>
                    <xdr:col>3</xdr:col>
                    <xdr:colOff>0</xdr:colOff>
                    <xdr:row>33</xdr:row>
                    <xdr:rowOff>215900</xdr:rowOff>
                  </to>
                </anchor>
              </controlPr>
            </control>
          </mc:Choice>
        </mc:AlternateContent>
        <mc:AlternateContent xmlns:mc="http://schemas.openxmlformats.org/markup-compatibility/2006">
          <mc:Choice Requires="x14">
            <control shapeId="44041" r:id="rId9" name="Drop Down 9">
              <controlPr defaultSize="0" autoLine="0" autoPict="0">
                <anchor moveWithCells="1">
                  <from>
                    <xdr:col>1</xdr:col>
                    <xdr:colOff>1587500</xdr:colOff>
                    <xdr:row>39</xdr:row>
                    <xdr:rowOff>25400</xdr:rowOff>
                  </from>
                  <to>
                    <xdr:col>3</xdr:col>
                    <xdr:colOff>0</xdr:colOff>
                    <xdr:row>39</xdr:row>
                    <xdr:rowOff>228600</xdr:rowOff>
                  </to>
                </anchor>
              </controlPr>
            </control>
          </mc:Choice>
        </mc:AlternateContent>
        <mc:AlternateContent xmlns:mc="http://schemas.openxmlformats.org/markup-compatibility/2006">
          <mc:Choice Requires="x14">
            <control shapeId="44042" r:id="rId10" name="Drop Down 10">
              <controlPr defaultSize="0" autoLine="0" autoPict="0">
                <anchor moveWithCells="1">
                  <from>
                    <xdr:col>1</xdr:col>
                    <xdr:colOff>1587500</xdr:colOff>
                    <xdr:row>41</xdr:row>
                    <xdr:rowOff>25400</xdr:rowOff>
                  </from>
                  <to>
                    <xdr:col>3</xdr:col>
                    <xdr:colOff>0</xdr:colOff>
                    <xdr:row>41</xdr:row>
                    <xdr:rowOff>215900</xdr:rowOff>
                  </to>
                </anchor>
              </controlPr>
            </control>
          </mc:Choice>
        </mc:AlternateContent>
        <mc:AlternateContent xmlns:mc="http://schemas.openxmlformats.org/markup-compatibility/2006">
          <mc:Choice Requires="x14">
            <control shapeId="44043" r:id="rId11" name="Drop Down 11">
              <controlPr defaultSize="0" autoLine="0" autoPict="0">
                <anchor moveWithCells="1">
                  <from>
                    <xdr:col>1</xdr:col>
                    <xdr:colOff>1587500</xdr:colOff>
                    <xdr:row>45</xdr:row>
                    <xdr:rowOff>25400</xdr:rowOff>
                  </from>
                  <to>
                    <xdr:col>3</xdr:col>
                    <xdr:colOff>0</xdr:colOff>
                    <xdr:row>45</xdr:row>
                    <xdr:rowOff>215900</xdr:rowOff>
                  </to>
                </anchor>
              </controlPr>
            </control>
          </mc:Choice>
        </mc:AlternateContent>
        <mc:AlternateContent xmlns:mc="http://schemas.openxmlformats.org/markup-compatibility/2006">
          <mc:Choice Requires="x14">
            <control shapeId="44044" r:id="rId12" name="Button 12">
              <controlPr defaultSize="0" print="0" autoFill="0" autoPict="0" macro="[0]!SET_NOMINAL_options">
                <anchor moveWithCells="1" sizeWithCells="1">
                  <from>
                    <xdr:col>3</xdr:col>
                    <xdr:colOff>177800</xdr:colOff>
                    <xdr:row>31</xdr:row>
                    <xdr:rowOff>38100</xdr:rowOff>
                  </from>
                  <to>
                    <xdr:col>4</xdr:col>
                    <xdr:colOff>711200</xdr:colOff>
                    <xdr:row>31</xdr:row>
                    <xdr:rowOff>203200</xdr:rowOff>
                  </to>
                </anchor>
              </controlPr>
            </control>
          </mc:Choice>
        </mc:AlternateContent>
        <mc:AlternateContent xmlns:mc="http://schemas.openxmlformats.org/markup-compatibility/2006">
          <mc:Choice Requires="x14">
            <control shapeId="44045" r:id="rId13" name="Drop Down 13">
              <controlPr defaultSize="0" autoLine="0" autoPict="0">
                <anchor moveWithCells="1">
                  <from>
                    <xdr:col>1</xdr:col>
                    <xdr:colOff>1587500</xdr:colOff>
                    <xdr:row>47</xdr:row>
                    <xdr:rowOff>25400</xdr:rowOff>
                  </from>
                  <to>
                    <xdr:col>3</xdr:col>
                    <xdr:colOff>0</xdr:colOff>
                    <xdr:row>47</xdr:row>
                    <xdr:rowOff>215900</xdr:rowOff>
                  </to>
                </anchor>
              </controlPr>
            </control>
          </mc:Choice>
        </mc:AlternateContent>
        <mc:AlternateContent xmlns:mc="http://schemas.openxmlformats.org/markup-compatibility/2006">
          <mc:Choice Requires="x14">
            <control shapeId="44048" r:id="rId14" name="Drop Down 16">
              <controlPr defaultSize="0" autoLine="0" autoPict="0">
                <anchor moveWithCells="1">
                  <from>
                    <xdr:col>1</xdr:col>
                    <xdr:colOff>1587500</xdr:colOff>
                    <xdr:row>49</xdr:row>
                    <xdr:rowOff>25400</xdr:rowOff>
                  </from>
                  <to>
                    <xdr:col>2</xdr:col>
                    <xdr:colOff>901700</xdr:colOff>
                    <xdr:row>49</xdr:row>
                    <xdr:rowOff>215900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FFFF00"/>
  </sheetPr>
  <dimension ref="A1:AB35"/>
  <sheetViews>
    <sheetView zoomScale="85" zoomScaleNormal="85" workbookViewId="0">
      <selection activeCell="H35" sqref="H35"/>
    </sheetView>
  </sheetViews>
  <sheetFormatPr baseColWidth="10" defaultColWidth="8.83203125" defaultRowHeight="13"/>
  <cols>
    <col min="1" max="1" width="2.6640625" customWidth="1"/>
    <col min="2" max="2" width="4.6640625" customWidth="1"/>
    <col min="6" max="10" width="9.5" customWidth="1"/>
    <col min="11" max="11" width="2.5" customWidth="1"/>
    <col min="12" max="12" width="6.83203125" customWidth="1"/>
    <col min="13" max="13" width="2.33203125" customWidth="1"/>
    <col min="14" max="14" width="6.83203125" customWidth="1"/>
    <col min="15" max="15" width="2" customWidth="1"/>
  </cols>
  <sheetData>
    <row r="1" spans="1:28" s="732" customFormat="1" ht="16">
      <c r="A1" s="951" t="str">
        <f>CONCATENATE("LCOSE Sensitivity Study: ",'TCO Solar Farm-Containers'!B117)</f>
        <v>LCOSE Sensitivity Study: Competitivity (AZA vs. other chemistry)</v>
      </c>
    </row>
    <row r="2" spans="1:28" ht="15">
      <c r="A2" s="193"/>
      <c r="B2" s="1299" t="str">
        <f>'TCO Solar Farm-Containers'!B128</f>
        <v>06-Jan-2021 rev. b</v>
      </c>
      <c r="C2" s="969"/>
      <c r="D2" s="969"/>
      <c r="E2" s="969"/>
    </row>
    <row r="3" spans="1:28" ht="6" customHeight="1"/>
    <row r="4" spans="1:28" ht="21.75" customHeight="1">
      <c r="B4" s="895" t="str">
        <f>'DropDown menus'!X3</f>
        <v>Region</v>
      </c>
      <c r="C4" s="895"/>
      <c r="D4" s="730"/>
      <c r="E4" s="730"/>
      <c r="F4" s="893"/>
      <c r="H4" s="407"/>
      <c r="I4" s="407"/>
      <c r="J4" s="407"/>
    </row>
    <row r="5" spans="1:28" ht="6" customHeight="1"/>
    <row r="6" spans="1:28" ht="15">
      <c r="B6" s="79"/>
      <c r="D6" s="79"/>
      <c r="E6" s="79"/>
      <c r="F6" s="1478" t="str">
        <f>CONCATENATE("Sensivity of: ",P6)</f>
        <v>Sensivity of: Competitivity (AZA vs. other chemistry)</v>
      </c>
      <c r="G6" s="1478"/>
      <c r="H6" s="1478"/>
      <c r="I6" s="1478"/>
      <c r="J6" s="1478"/>
      <c r="K6" s="79"/>
      <c r="L6" s="79"/>
      <c r="M6" s="79"/>
      <c r="N6" s="79"/>
      <c r="O6" s="79"/>
      <c r="P6" s="1478" t="str">
        <f>'TCO Solar Farm-Containers'!B117</f>
        <v>Competitivity (AZA vs. other chemistry)</v>
      </c>
      <c r="Q6" s="1478"/>
      <c r="R6" s="1478"/>
      <c r="S6" s="1478"/>
      <c r="T6" s="1478"/>
      <c r="U6" s="1478"/>
      <c r="W6" s="1478" t="s">
        <v>838</v>
      </c>
      <c r="X6" s="1478"/>
      <c r="Y6" s="1478"/>
      <c r="Z6" s="1478"/>
      <c r="AA6" s="1478"/>
      <c r="AB6" s="1478"/>
    </row>
    <row r="7" spans="1:28" ht="15">
      <c r="B7" s="79"/>
      <c r="C7" s="79"/>
      <c r="D7" s="79"/>
      <c r="E7" s="79"/>
      <c r="F7" s="1483">
        <f>'DropDown menus'!$U$11</f>
        <v>2023</v>
      </c>
      <c r="G7" s="1484"/>
      <c r="H7" s="942"/>
      <c r="I7" s="1483">
        <f>'DropDown menus'!$U$12</f>
        <v>2028</v>
      </c>
      <c r="J7" s="1484"/>
      <c r="K7" s="193"/>
      <c r="L7" s="1485" t="s">
        <v>680</v>
      </c>
      <c r="M7" s="1486"/>
      <c r="N7" s="1487"/>
      <c r="O7" s="79"/>
      <c r="P7" s="1479">
        <f>'DropDown menus'!$U$11</f>
        <v>2023</v>
      </c>
      <c r="Q7" s="1480"/>
      <c r="R7" s="1481"/>
      <c r="S7" s="1480">
        <f>'DropDown menus'!$U$12</f>
        <v>2028</v>
      </c>
      <c r="T7" s="1480"/>
      <c r="U7" s="1481"/>
      <c r="W7" s="1479">
        <f>'DropDown menus'!$U$11</f>
        <v>2023</v>
      </c>
      <c r="X7" s="1480"/>
      <c r="Y7" s="1481"/>
      <c r="Z7" s="1480">
        <f>'DropDown menus'!$U$12</f>
        <v>2028</v>
      </c>
      <c r="AA7" s="1480"/>
      <c r="AB7" s="1481"/>
    </row>
    <row r="8" spans="1:28" ht="15">
      <c r="B8" s="79"/>
      <c r="C8" s="79"/>
      <c r="D8" s="79"/>
      <c r="E8" s="79"/>
      <c r="F8" s="943" t="s">
        <v>674</v>
      </c>
      <c r="G8" s="944" t="s">
        <v>675</v>
      </c>
      <c r="H8" s="942"/>
      <c r="I8" s="943" t="s">
        <v>674</v>
      </c>
      <c r="J8" s="944" t="s">
        <v>675</v>
      </c>
      <c r="K8" s="79"/>
      <c r="L8" s="948" t="s">
        <v>678</v>
      </c>
      <c r="M8" s="949" t="s">
        <v>677</v>
      </c>
      <c r="N8" s="950" t="s">
        <v>679</v>
      </c>
      <c r="O8" s="79"/>
      <c r="P8" s="939" t="s">
        <v>674</v>
      </c>
      <c r="Q8" s="940" t="s">
        <v>429</v>
      </c>
      <c r="R8" s="941" t="s">
        <v>675</v>
      </c>
      <c r="S8" s="940" t="s">
        <v>674</v>
      </c>
      <c r="T8" s="940" t="s">
        <v>429</v>
      </c>
      <c r="U8" s="941" t="s">
        <v>675</v>
      </c>
      <c r="W8" s="939" t="s">
        <v>674</v>
      </c>
      <c r="X8" s="940" t="s">
        <v>429</v>
      </c>
      <c r="Y8" s="941" t="s">
        <v>675</v>
      </c>
      <c r="Z8" s="940" t="s">
        <v>674</v>
      </c>
      <c r="AA8" s="940" t="s">
        <v>429</v>
      </c>
      <c r="AB8" s="941" t="s">
        <v>675</v>
      </c>
    </row>
    <row r="9" spans="1:28" ht="15">
      <c r="B9" s="963" t="str">
        <f>CONCATENATE('TCO Solar Farm-Containers'!A136,3)</f>
        <v>L3</v>
      </c>
      <c r="C9" s="79"/>
      <c r="D9" s="79"/>
      <c r="E9" s="932" t="str">
        <f ca="1">'TCO Solar Farm-Containers'!B136</f>
        <v>AZA Perfs (Costs &amp; SceLife)</v>
      </c>
      <c r="F9" s="933">
        <f>Q9-P9</f>
        <v>-0.11068480041443385</v>
      </c>
      <c r="G9" s="935">
        <f>Q9-R9</f>
        <v>7.3789866942955751E-2</v>
      </c>
      <c r="H9" s="942"/>
      <c r="I9" s="933">
        <f>T9-S9</f>
        <v>-4.6833212715734929E-2</v>
      </c>
      <c r="J9" s="935">
        <f>T9-U9</f>
        <v>3.1222141810489878E-2</v>
      </c>
      <c r="K9" s="79"/>
      <c r="L9" s="945">
        <v>-0.2</v>
      </c>
      <c r="M9" s="946" t="s">
        <v>677</v>
      </c>
      <c r="N9" s="947">
        <v>0.2</v>
      </c>
      <c r="O9" s="79"/>
      <c r="P9" s="933">
        <v>4.6837416923996456E-2</v>
      </c>
      <c r="Q9" s="934">
        <v>-6.3847383490437393E-2</v>
      </c>
      <c r="R9" s="935">
        <v>-0.13763725043339314</v>
      </c>
      <c r="S9" s="934">
        <v>-0.26336462778432634</v>
      </c>
      <c r="T9" s="934">
        <v>-0.31019784050006127</v>
      </c>
      <c r="U9" s="935">
        <v>-0.34141998231055115</v>
      </c>
      <c r="W9" s="956">
        <v>9.3473744657851104E-2</v>
      </c>
      <c r="X9" s="957">
        <v>8.35905263049527E-2</v>
      </c>
      <c r="Y9" s="958">
        <v>7.7001714069687102E-2</v>
      </c>
      <c r="Z9" s="957">
        <v>5.3943739938685127E-2</v>
      </c>
      <c r="AA9" s="957">
        <v>5.0514148118200222E-2</v>
      </c>
      <c r="AB9" s="958">
        <v>4.8227753571210293E-2</v>
      </c>
    </row>
    <row r="10" spans="1:28" ht="15">
      <c r="B10" s="963" t="str">
        <f>CONCATENATE('TCO Solar Farm-Containers'!A138,3)</f>
        <v>AI3</v>
      </c>
      <c r="C10" s="79"/>
      <c r="D10" s="79"/>
      <c r="E10" s="932" t="str">
        <f ca="1">'TCO Solar Farm-Containers'!B138</f>
        <v>AZA ZAB energy eff.</v>
      </c>
      <c r="F10" s="933">
        <f t="shared" ref="F10:F16" si="0">Q10-P10</f>
        <v>-2.705920179136978E-2</v>
      </c>
      <c r="G10" s="935">
        <f t="shared" ref="G10:G16" si="1">Q10-R10</f>
        <v>2.2549334826141298E-2</v>
      </c>
      <c r="H10" s="942"/>
      <c r="I10" s="933">
        <f t="shared" ref="I10:I16" si="2">T10-S10</f>
        <v>-2.7734483005552035E-2</v>
      </c>
      <c r="J10" s="935">
        <f t="shared" ref="J10:J16" si="3">T10-U10</f>
        <v>2.3112069171292937E-2</v>
      </c>
      <c r="K10" s="79"/>
      <c r="L10" s="945">
        <v>0.5</v>
      </c>
      <c r="M10" s="946" t="s">
        <v>677</v>
      </c>
      <c r="N10" s="947">
        <v>0.6</v>
      </c>
      <c r="O10" s="79"/>
      <c r="P10" s="933">
        <v>-3.6788181699067612E-2</v>
      </c>
      <c r="Q10" s="934">
        <v>-6.3847383490437393E-2</v>
      </c>
      <c r="R10" s="935">
        <v>-8.6396718316578691E-2</v>
      </c>
      <c r="S10" s="934">
        <v>-0.28246335749450924</v>
      </c>
      <c r="T10" s="934">
        <v>-0.31019784050006127</v>
      </c>
      <c r="U10" s="935">
        <v>-0.33330990967135421</v>
      </c>
      <c r="W10" s="956">
        <v>8.6006684609958528E-2</v>
      </c>
      <c r="X10" s="957">
        <v>8.35905263049527E-2</v>
      </c>
      <c r="Y10" s="958">
        <v>8.1577061050781191E-2</v>
      </c>
      <c r="Z10" s="957">
        <v>5.254514173460146E-2</v>
      </c>
      <c r="AA10" s="957">
        <v>5.0514148118200222E-2</v>
      </c>
      <c r="AB10" s="958">
        <v>4.8821653437865889E-2</v>
      </c>
    </row>
    <row r="11" spans="1:28" ht="15">
      <c r="B11" s="963" t="str">
        <f>CONCATENATE('TCO Solar Farm-Containers'!A140,3)</f>
        <v>O3</v>
      </c>
      <c r="C11" s="79"/>
      <c r="D11" s="79"/>
      <c r="E11" s="932" t="str">
        <f ca="1">'TCO Solar Farm-Containers'!B140</f>
        <v>Li-ion 2020 performance</v>
      </c>
      <c r="F11" s="933">
        <f t="shared" si="0"/>
        <v>-0.20786082384993865</v>
      </c>
      <c r="G11" s="935">
        <f t="shared" si="1"/>
        <v>0.23006592665873138</v>
      </c>
      <c r="H11" s="942"/>
      <c r="I11" s="933">
        <f t="shared" si="2"/>
        <v>-0.17361334954017782</v>
      </c>
      <c r="J11" s="935">
        <f t="shared" si="3"/>
        <v>0.16577844206490355</v>
      </c>
      <c r="K11" s="79"/>
      <c r="L11" s="945">
        <v>-0.25</v>
      </c>
      <c r="M11" s="946" t="s">
        <v>677</v>
      </c>
      <c r="N11" s="947">
        <v>0.25</v>
      </c>
      <c r="O11" s="79"/>
      <c r="P11" s="933">
        <v>0.14401344035950125</v>
      </c>
      <c r="Q11" s="934">
        <v>-6.3847383490437393E-2</v>
      </c>
      <c r="R11" s="935">
        <v>-0.29391331014916877</v>
      </c>
      <c r="S11" s="934">
        <v>-0.13658449095988345</v>
      </c>
      <c r="T11" s="934">
        <v>-0.31019784050006127</v>
      </c>
      <c r="U11" s="935">
        <v>-0.47597628256496483</v>
      </c>
      <c r="W11" s="956">
        <v>8.35905263049527E-2</v>
      </c>
      <c r="X11" s="957">
        <v>8.35905263049527E-2</v>
      </c>
      <c r="Y11" s="958">
        <v>8.35905263049527E-2</v>
      </c>
      <c r="Z11" s="957">
        <v>5.0514148118200222E-2</v>
      </c>
      <c r="AA11" s="957">
        <v>5.0514148118200222E-2</v>
      </c>
      <c r="AB11" s="958">
        <v>5.0514148118200222E-2</v>
      </c>
    </row>
    <row r="12" spans="1:28" ht="15">
      <c r="B12" s="963" t="str">
        <f>CONCATENATE('TCO Solar Farm-Containers'!A142,3)</f>
        <v>F3</v>
      </c>
      <c r="C12" s="79"/>
      <c r="D12" s="79"/>
      <c r="E12" s="932" t="str">
        <f ca="1">'TCO Solar Farm-Containers'!B142</f>
        <v>Inflation Rate</v>
      </c>
      <c r="F12" s="933">
        <f t="shared" si="0"/>
        <v>-7.1148354709790196E-3</v>
      </c>
      <c r="G12" s="935">
        <f t="shared" si="1"/>
        <v>3.2834832684720539E-3</v>
      </c>
      <c r="H12" s="942"/>
      <c r="I12" s="933">
        <f t="shared" si="2"/>
        <v>5.9017288849837479E-3</v>
      </c>
      <c r="J12" s="935">
        <f t="shared" si="3"/>
        <v>-2.7201763616729879E-3</v>
      </c>
      <c r="K12" s="79"/>
      <c r="L12" s="945">
        <v>-0.04</v>
      </c>
      <c r="M12" s="946" t="s">
        <v>677</v>
      </c>
      <c r="N12" s="947">
        <v>0.04</v>
      </c>
      <c r="O12" s="79"/>
      <c r="P12" s="933">
        <v>-5.6732548019458373E-2</v>
      </c>
      <c r="Q12" s="934">
        <v>-6.3847383490437393E-2</v>
      </c>
      <c r="R12" s="935">
        <v>-6.7130866758909447E-2</v>
      </c>
      <c r="S12" s="934">
        <v>-0.31609956938504502</v>
      </c>
      <c r="T12" s="934">
        <v>-0.31019784050006127</v>
      </c>
      <c r="U12" s="935">
        <v>-0.30747766413838828</v>
      </c>
      <c r="W12" s="956">
        <v>0.13055278323911604</v>
      </c>
      <c r="X12" s="957">
        <v>8.35905263049527E-2</v>
      </c>
      <c r="Y12" s="958">
        <v>7.0524600959529421E-2</v>
      </c>
      <c r="Z12" s="957">
        <v>7.7561174550291836E-2</v>
      </c>
      <c r="AA12" s="957">
        <v>5.0514148118200222E-2</v>
      </c>
      <c r="AB12" s="958">
        <v>4.2954241271835079E-2</v>
      </c>
    </row>
    <row r="13" spans="1:28" ht="15">
      <c r="B13" s="963" t="str">
        <f>CONCATENATE('TCO Solar Farm-Containers'!A144,3)</f>
        <v>I3</v>
      </c>
      <c r="C13" s="79"/>
      <c r="D13" s="79"/>
      <c r="E13" s="932" t="str">
        <f ca="1">'TCO Solar Farm-Containers'!B144</f>
        <v>WACC nominal</v>
      </c>
      <c r="F13" s="933">
        <f t="shared" si="0"/>
        <v>8.1321325461084504E-3</v>
      </c>
      <c r="G13" s="935">
        <f t="shared" si="1"/>
        <v>-7.4150864198175848E-3</v>
      </c>
      <c r="H13" s="942"/>
      <c r="I13" s="933">
        <f t="shared" si="2"/>
        <v>-6.7330135024040727E-3</v>
      </c>
      <c r="J13" s="935">
        <f t="shared" si="3"/>
        <v>6.1510118494159105E-3</v>
      </c>
      <c r="K13" s="79"/>
      <c r="L13" s="945">
        <v>0</v>
      </c>
      <c r="M13" s="946" t="s">
        <v>677</v>
      </c>
      <c r="N13" s="947">
        <v>0.1</v>
      </c>
      <c r="O13" s="79"/>
      <c r="P13" s="933">
        <v>-7.1979516036545843E-2</v>
      </c>
      <c r="Q13" s="934">
        <v>-6.3847383490437393E-2</v>
      </c>
      <c r="R13" s="935">
        <v>-5.6432297070619808E-2</v>
      </c>
      <c r="S13" s="934">
        <v>-0.3034648269976572</v>
      </c>
      <c r="T13" s="934">
        <v>-0.31019784050006127</v>
      </c>
      <c r="U13" s="935">
        <v>-0.31634885234947718</v>
      </c>
      <c r="W13" s="956">
        <v>5.9490502480125829E-2</v>
      </c>
      <c r="X13" s="957">
        <v>8.35905263049527E-2</v>
      </c>
      <c r="Y13" s="958">
        <v>0.13021358635247468</v>
      </c>
      <c r="Z13" s="957">
        <v>3.6655799590863597E-2</v>
      </c>
      <c r="AA13" s="957">
        <v>5.0514148118200222E-2</v>
      </c>
      <c r="AB13" s="958">
        <v>7.7304013303778868E-2</v>
      </c>
    </row>
    <row r="14" spans="1:28" ht="15">
      <c r="B14" s="963" t="str">
        <f>CONCATENATE('TCO Solar Farm-Containers'!A146,3)</f>
        <v>AF3</v>
      </c>
      <c r="C14" s="79"/>
      <c r="D14" s="79"/>
      <c r="E14" s="932" t="str">
        <f ca="1">'TCO Solar Farm-Containers'!B146</f>
        <v>PV OPEX/CAPEX</v>
      </c>
      <c r="F14" s="933">
        <f t="shared" si="0"/>
        <v>-9.5898195422042809E-3</v>
      </c>
      <c r="G14" s="935">
        <f t="shared" si="1"/>
        <v>7.9869151262219606E-3</v>
      </c>
      <c r="H14" s="942"/>
      <c r="I14" s="933">
        <f t="shared" si="2"/>
        <v>7.9571281132501115E-3</v>
      </c>
      <c r="J14" s="935">
        <f t="shared" si="3"/>
        <v>-6.6128977507510234E-3</v>
      </c>
      <c r="K14" s="79"/>
      <c r="L14" s="945">
        <v>0.01</v>
      </c>
      <c r="M14" s="946" t="s">
        <v>677</v>
      </c>
      <c r="N14" s="947">
        <v>0.03</v>
      </c>
      <c r="O14" s="79"/>
      <c r="P14" s="933">
        <v>-5.4257563948233112E-2</v>
      </c>
      <c r="Q14" s="934">
        <v>-6.3847383490437393E-2</v>
      </c>
      <c r="R14" s="935">
        <v>-7.1834298616659353E-2</v>
      </c>
      <c r="S14" s="934">
        <v>-0.31815496861331138</v>
      </c>
      <c r="T14" s="934">
        <v>-0.31019784050006127</v>
      </c>
      <c r="U14" s="935">
        <v>-0.30358494274931025</v>
      </c>
      <c r="W14" s="956">
        <v>7.6745717188985998E-2</v>
      </c>
      <c r="X14" s="957">
        <v>8.35905263049527E-2</v>
      </c>
      <c r="Y14" s="958">
        <v>9.0435335420919416E-2</v>
      </c>
      <c r="Z14" s="957">
        <v>4.5324773705496299E-2</v>
      </c>
      <c r="AA14" s="957">
        <v>5.0514148118200222E-2</v>
      </c>
      <c r="AB14" s="958">
        <v>5.5703522530904159E-2</v>
      </c>
    </row>
    <row r="15" spans="1:28" ht="15">
      <c r="B15" s="963" t="str">
        <f>CONCATENATE('TCO Solar Farm-Containers'!A148,3)</f>
        <v>C3</v>
      </c>
      <c r="C15" s="79"/>
      <c r="D15" s="79"/>
      <c r="E15" s="932" t="str">
        <f ca="1">'TCO Solar Farm-Containers'!B148</f>
        <v>EUR2USD yearly progress</v>
      </c>
      <c r="F15" s="933">
        <f t="shared" si="0"/>
        <v>0</v>
      </c>
      <c r="G15" s="935">
        <f t="shared" si="1"/>
        <v>0</v>
      </c>
      <c r="H15" s="942"/>
      <c r="I15" s="933">
        <f t="shared" si="2"/>
        <v>0</v>
      </c>
      <c r="J15" s="935">
        <f t="shared" si="3"/>
        <v>0</v>
      </c>
      <c r="K15" s="79"/>
      <c r="L15" s="945">
        <v>-0.02</v>
      </c>
      <c r="M15" s="946" t="s">
        <v>677</v>
      </c>
      <c r="N15" s="947">
        <v>0.02</v>
      </c>
      <c r="O15" s="79"/>
      <c r="P15" s="933">
        <v>-6.3847383490437393E-2</v>
      </c>
      <c r="Q15" s="934">
        <v>-6.3847383490437393E-2</v>
      </c>
      <c r="R15" s="935">
        <v>-6.3847383490437393E-2</v>
      </c>
      <c r="S15" s="934">
        <v>-0.31019784050006127</v>
      </c>
      <c r="T15" s="934">
        <v>-0.31019784050006127</v>
      </c>
      <c r="U15" s="935">
        <v>-0.31019784050006127</v>
      </c>
      <c r="W15" s="956">
        <v>8.35905263049527E-2</v>
      </c>
      <c r="X15" s="957">
        <v>8.35905263049527E-2</v>
      </c>
      <c r="Y15" s="958">
        <v>8.35905263049527E-2</v>
      </c>
      <c r="Z15" s="957">
        <v>5.0514148118200222E-2</v>
      </c>
      <c r="AA15" s="957">
        <v>5.0514148118200222E-2</v>
      </c>
      <c r="AB15" s="958">
        <v>5.0514148118200222E-2</v>
      </c>
    </row>
    <row r="16" spans="1:28" ht="15">
      <c r="B16" s="963" t="str">
        <f>CONCATENATE('TCO Solar Farm-Containers'!A150,3)</f>
        <v>AO3</v>
      </c>
      <c r="C16" s="79"/>
      <c r="D16" s="79"/>
      <c r="E16" s="932" t="str">
        <f ca="1">'TCO Solar Farm-Containers'!B150</f>
        <v>PV Balance of System</v>
      </c>
      <c r="F16" s="1226">
        <f t="shared" si="0"/>
        <v>6.1285720512616049E-4</v>
      </c>
      <c r="G16" s="1227">
        <f t="shared" si="1"/>
        <v>-3.7494318686792649E-4</v>
      </c>
      <c r="H16" s="942"/>
      <c r="I16" s="1226">
        <f t="shared" si="2"/>
        <v>-2.6977764780307112E-3</v>
      </c>
      <c r="J16" s="1227">
        <f t="shared" si="3"/>
        <v>1.6552130658366027E-3</v>
      </c>
      <c r="K16" s="79"/>
      <c r="L16" s="1228">
        <v>-0.02</v>
      </c>
      <c r="M16" s="1229" t="s">
        <v>677</v>
      </c>
      <c r="N16" s="1230">
        <v>0.02</v>
      </c>
      <c r="O16" s="79"/>
      <c r="P16" s="936">
        <v>-6.4460240695563553E-2</v>
      </c>
      <c r="Q16" s="937">
        <v>-6.3847383490437393E-2</v>
      </c>
      <c r="R16" s="938">
        <v>-6.3472440303569466E-2</v>
      </c>
      <c r="S16" s="937">
        <v>-0.30750006402203056</v>
      </c>
      <c r="T16" s="937">
        <v>-0.31019784050006127</v>
      </c>
      <c r="U16" s="938">
        <v>-0.31185305356589788</v>
      </c>
      <c r="W16" s="959">
        <v>8.4554681483954078E-2</v>
      </c>
      <c r="X16" s="960">
        <v>8.35905263049527E-2</v>
      </c>
      <c r="Y16" s="961">
        <v>8.301203319755189E-2</v>
      </c>
      <c r="Z16" s="960">
        <v>5.1421321726122619E-2</v>
      </c>
      <c r="AA16" s="960">
        <v>5.0514148118200222E-2</v>
      </c>
      <c r="AB16" s="961">
        <v>4.9969843953446794E-2</v>
      </c>
    </row>
    <row r="17" spans="2:21" ht="6.75" customHeight="1">
      <c r="B17" s="932"/>
      <c r="C17" s="79"/>
      <c r="D17" s="79"/>
      <c r="E17" s="79"/>
      <c r="F17" s="79"/>
      <c r="G17" s="79"/>
      <c r="H17" s="79"/>
      <c r="I17" s="79"/>
      <c r="J17" s="79"/>
      <c r="K17" s="79"/>
      <c r="L17" s="79"/>
      <c r="M17" s="79"/>
      <c r="N17" s="79"/>
      <c r="O17" s="79"/>
      <c r="P17" s="79"/>
      <c r="Q17" s="79"/>
      <c r="R17" s="79"/>
      <c r="S17" s="79"/>
      <c r="T17" s="79"/>
      <c r="U17" s="79"/>
    </row>
    <row r="18" spans="2:21" ht="6.75" customHeight="1">
      <c r="B18" s="79"/>
      <c r="C18" s="79"/>
      <c r="D18" s="79"/>
      <c r="E18" s="79"/>
      <c r="F18" s="79"/>
      <c r="G18" s="79"/>
      <c r="H18" s="79"/>
      <c r="I18" s="79"/>
      <c r="J18" s="79"/>
      <c r="K18" s="79"/>
      <c r="L18" s="79"/>
      <c r="M18" s="79"/>
      <c r="N18" s="79"/>
      <c r="O18" s="79"/>
      <c r="P18" s="79"/>
      <c r="Q18" s="79"/>
      <c r="R18" s="79"/>
      <c r="S18" s="79"/>
      <c r="T18" s="79"/>
      <c r="U18" s="79"/>
    </row>
    <row r="19" spans="2:21" s="6" customFormat="1" ht="15" customHeight="1">
      <c r="B19" s="101"/>
      <c r="C19" s="1482" t="str">
        <f>CONCATENATE("LCOSE Sensitivity in ",F7)</f>
        <v>LCOSE Sensitivity in 2023</v>
      </c>
      <c r="D19" s="1482"/>
      <c r="E19" s="1482"/>
      <c r="F19" s="1482"/>
      <c r="G19" s="1482"/>
      <c r="H19" s="1482"/>
      <c r="I19" s="1482"/>
      <c r="J19" s="1482"/>
      <c r="K19" s="101"/>
      <c r="L19" s="1482" t="str">
        <f>CONCATENATE("LCOSE Sensitivity in ",I7)</f>
        <v>LCOSE Sensitivity in 2028</v>
      </c>
      <c r="M19" s="1482"/>
      <c r="N19" s="1482"/>
      <c r="O19" s="1482"/>
      <c r="P19" s="1482"/>
      <c r="Q19" s="1482"/>
      <c r="R19" s="1482"/>
      <c r="S19" s="1482"/>
      <c r="T19" s="1482"/>
      <c r="U19" s="1482"/>
    </row>
    <row r="20" spans="2:21" ht="15">
      <c r="B20" s="79"/>
      <c r="C20" s="983"/>
      <c r="D20" s="983"/>
      <c r="E20" s="983"/>
      <c r="F20" s="983"/>
      <c r="G20" s="983"/>
      <c r="H20" s="983"/>
      <c r="I20" s="983"/>
      <c r="J20" s="983"/>
      <c r="K20" s="79"/>
      <c r="L20" s="982"/>
      <c r="M20" s="982"/>
      <c r="N20" s="982"/>
      <c r="O20" s="982"/>
      <c r="P20" s="982"/>
      <c r="Q20" s="982"/>
      <c r="R20" s="982"/>
      <c r="S20" s="982"/>
      <c r="T20" s="982"/>
      <c r="U20" s="982"/>
    </row>
    <row r="21" spans="2:21" ht="15">
      <c r="B21" s="79"/>
      <c r="C21" s="983"/>
      <c r="D21" s="983"/>
      <c r="E21" s="983"/>
      <c r="F21" s="983"/>
      <c r="G21" s="983"/>
      <c r="H21" s="983"/>
      <c r="I21" s="983"/>
      <c r="J21" s="983"/>
      <c r="K21" s="79"/>
      <c r="L21" s="982"/>
      <c r="M21" s="982"/>
      <c r="N21" s="982"/>
      <c r="O21" s="982"/>
      <c r="P21" s="982"/>
      <c r="Q21" s="982"/>
      <c r="R21" s="982"/>
      <c r="S21" s="982"/>
      <c r="T21" s="982"/>
      <c r="U21" s="982"/>
    </row>
    <row r="22" spans="2:21" ht="15">
      <c r="B22" s="79"/>
      <c r="C22" s="983"/>
      <c r="D22" s="983"/>
      <c r="E22" s="983"/>
      <c r="F22" s="983"/>
      <c r="G22" s="983"/>
      <c r="H22" s="983"/>
      <c r="I22" s="983"/>
      <c r="J22" s="983"/>
      <c r="K22" s="79"/>
      <c r="L22" s="982"/>
      <c r="M22" s="982"/>
      <c r="N22" s="982"/>
      <c r="O22" s="982"/>
      <c r="P22" s="982"/>
      <c r="Q22" s="982"/>
      <c r="R22" s="982"/>
      <c r="S22" s="982"/>
      <c r="T22" s="982"/>
      <c r="U22" s="982"/>
    </row>
    <row r="23" spans="2:21" ht="15">
      <c r="B23" s="79"/>
      <c r="C23" s="983"/>
      <c r="D23" s="983"/>
      <c r="E23" s="983"/>
      <c r="F23" s="983"/>
      <c r="G23" s="983"/>
      <c r="H23" s="983"/>
      <c r="I23" s="983"/>
      <c r="J23" s="983"/>
      <c r="K23" s="79"/>
      <c r="L23" s="982"/>
      <c r="M23" s="982"/>
      <c r="N23" s="982"/>
      <c r="O23" s="982"/>
      <c r="P23" s="982"/>
      <c r="Q23" s="982"/>
      <c r="R23" s="982"/>
      <c r="S23" s="982"/>
      <c r="T23" s="982"/>
      <c r="U23" s="982"/>
    </row>
    <row r="24" spans="2:21" ht="15">
      <c r="B24" s="79"/>
      <c r="C24" s="983"/>
      <c r="D24" s="983"/>
      <c r="E24" s="983"/>
      <c r="F24" s="983"/>
      <c r="G24" s="983"/>
      <c r="H24" s="983"/>
      <c r="I24" s="983"/>
      <c r="J24" s="983"/>
      <c r="K24" s="79"/>
      <c r="L24" s="982"/>
      <c r="M24" s="982"/>
      <c r="N24" s="982"/>
      <c r="O24" s="982"/>
      <c r="P24" s="982"/>
      <c r="Q24" s="982"/>
      <c r="R24" s="982"/>
      <c r="S24" s="982"/>
      <c r="T24" s="982"/>
      <c r="U24" s="982"/>
    </row>
    <row r="25" spans="2:21" ht="15">
      <c r="B25" s="79"/>
      <c r="C25" s="983"/>
      <c r="D25" s="983"/>
      <c r="E25" s="983"/>
      <c r="F25" s="983"/>
      <c r="G25" s="983"/>
      <c r="H25" s="983"/>
      <c r="I25" s="983"/>
      <c r="J25" s="983"/>
      <c r="K25" s="79"/>
      <c r="L25" s="982"/>
      <c r="M25" s="982"/>
      <c r="N25" s="982"/>
      <c r="O25" s="982"/>
      <c r="P25" s="982"/>
      <c r="Q25" s="982"/>
      <c r="R25" s="982"/>
      <c r="S25" s="982"/>
      <c r="T25" s="982"/>
      <c r="U25" s="982"/>
    </row>
    <row r="26" spans="2:21" ht="15">
      <c r="B26" s="79"/>
      <c r="C26" s="983"/>
      <c r="D26" s="983"/>
      <c r="E26" s="983"/>
      <c r="F26" s="983"/>
      <c r="G26" s="983"/>
      <c r="H26" s="983"/>
      <c r="I26" s="983"/>
      <c r="J26" s="983"/>
      <c r="K26" s="79"/>
      <c r="L26" s="982"/>
      <c r="M26" s="982"/>
      <c r="N26" s="982"/>
      <c r="O26" s="982"/>
      <c r="P26" s="982"/>
      <c r="Q26" s="982"/>
      <c r="R26" s="982"/>
      <c r="S26" s="982"/>
      <c r="T26" s="982"/>
      <c r="U26" s="982"/>
    </row>
    <row r="27" spans="2:21" ht="15">
      <c r="B27" s="79"/>
      <c r="C27" s="983"/>
      <c r="D27" s="983"/>
      <c r="E27" s="983"/>
      <c r="F27" s="983"/>
      <c r="G27" s="983"/>
      <c r="H27" s="983"/>
      <c r="I27" s="983"/>
      <c r="J27" s="983"/>
      <c r="K27" s="79"/>
      <c r="L27" s="982"/>
      <c r="M27" s="982"/>
      <c r="N27" s="982"/>
      <c r="O27" s="982"/>
      <c r="P27" s="982"/>
      <c r="Q27" s="982"/>
      <c r="R27" s="982"/>
      <c r="S27" s="982"/>
      <c r="T27" s="982"/>
      <c r="U27" s="982"/>
    </row>
    <row r="28" spans="2:21" ht="15">
      <c r="B28" s="79"/>
      <c r="C28" s="983"/>
      <c r="D28" s="983"/>
      <c r="E28" s="983"/>
      <c r="F28" s="983"/>
      <c r="G28" s="983"/>
      <c r="H28" s="983"/>
      <c r="I28" s="983"/>
      <c r="J28" s="983"/>
      <c r="K28" s="79"/>
      <c r="L28" s="982"/>
      <c r="M28" s="982"/>
      <c r="N28" s="982"/>
      <c r="O28" s="982"/>
      <c r="P28" s="982"/>
      <c r="Q28" s="982"/>
      <c r="R28" s="982"/>
      <c r="S28" s="982"/>
      <c r="T28" s="982"/>
      <c r="U28" s="982"/>
    </row>
    <row r="29" spans="2:21" ht="15">
      <c r="B29" s="79"/>
      <c r="C29" s="983"/>
      <c r="D29" s="983"/>
      <c r="E29" s="983"/>
      <c r="F29" s="983"/>
      <c r="G29" s="983"/>
      <c r="H29" s="983"/>
      <c r="I29" s="983"/>
      <c r="J29" s="983"/>
      <c r="K29" s="79"/>
      <c r="L29" s="982"/>
      <c r="M29" s="982"/>
      <c r="N29" s="982"/>
      <c r="O29" s="982"/>
      <c r="P29" s="982"/>
      <c r="Q29" s="982"/>
      <c r="R29" s="982"/>
      <c r="S29" s="982"/>
      <c r="T29" s="982"/>
      <c r="U29" s="982"/>
    </row>
    <row r="30" spans="2:21" ht="15">
      <c r="B30" s="79"/>
      <c r="C30" s="983"/>
      <c r="D30" s="983"/>
      <c r="E30" s="983"/>
      <c r="F30" s="983"/>
      <c r="G30" s="983"/>
      <c r="H30" s="983"/>
      <c r="I30" s="983"/>
      <c r="J30" s="983"/>
      <c r="K30" s="79"/>
      <c r="L30" s="982"/>
      <c r="M30" s="982"/>
      <c r="N30" s="982"/>
      <c r="O30" s="982"/>
      <c r="P30" s="982"/>
      <c r="Q30" s="982"/>
      <c r="R30" s="982"/>
      <c r="S30" s="982"/>
      <c r="T30" s="982"/>
      <c r="U30" s="982"/>
    </row>
    <row r="31" spans="2:21" ht="15">
      <c r="B31" s="79"/>
      <c r="C31" s="983"/>
      <c r="D31" s="983"/>
      <c r="E31" s="983"/>
      <c r="F31" s="983"/>
      <c r="G31" s="983"/>
      <c r="H31" s="983"/>
      <c r="I31" s="983"/>
      <c r="J31" s="983"/>
      <c r="K31" s="79"/>
      <c r="L31" s="982"/>
      <c r="M31" s="982"/>
      <c r="N31" s="982"/>
      <c r="O31" s="982"/>
      <c r="P31" s="982"/>
      <c r="Q31" s="982"/>
      <c r="R31" s="982"/>
      <c r="S31" s="982"/>
      <c r="T31" s="982"/>
      <c r="U31" s="982"/>
    </row>
    <row r="32" spans="2:21" ht="15">
      <c r="B32" s="79"/>
      <c r="C32" s="983"/>
      <c r="D32" s="983"/>
      <c r="E32" s="983"/>
      <c r="F32" s="983"/>
      <c r="G32" s="983"/>
      <c r="H32" s="983"/>
      <c r="I32" s="983"/>
      <c r="J32" s="983"/>
      <c r="K32" s="79"/>
      <c r="L32" s="982"/>
      <c r="M32" s="982"/>
      <c r="N32" s="982"/>
      <c r="O32" s="982"/>
      <c r="P32" s="982"/>
      <c r="Q32" s="982"/>
      <c r="R32" s="982"/>
      <c r="S32" s="982"/>
      <c r="T32" s="982"/>
      <c r="U32" s="982"/>
    </row>
    <row r="33" spans="2:21" ht="15">
      <c r="B33" s="79"/>
      <c r="C33" s="983"/>
      <c r="D33" s="983"/>
      <c r="E33" s="983"/>
      <c r="F33" s="983"/>
      <c r="G33" s="983"/>
      <c r="H33" s="983"/>
      <c r="I33" s="983"/>
      <c r="J33" s="983"/>
      <c r="K33" s="79"/>
      <c r="L33" s="982"/>
      <c r="M33" s="982"/>
      <c r="N33" s="982"/>
      <c r="O33" s="982"/>
      <c r="P33" s="982"/>
      <c r="Q33" s="982"/>
      <c r="R33" s="982"/>
      <c r="S33" s="982"/>
      <c r="T33" s="982"/>
      <c r="U33" s="982"/>
    </row>
    <row r="34" spans="2:21" ht="15">
      <c r="B34" s="79"/>
      <c r="C34" s="983"/>
      <c r="D34" s="983"/>
      <c r="E34" s="983"/>
      <c r="F34" s="983"/>
      <c r="G34" s="983"/>
      <c r="H34" s="983"/>
      <c r="I34" s="983"/>
      <c r="J34" s="983"/>
      <c r="K34" s="79"/>
      <c r="L34" s="982"/>
      <c r="M34" s="982"/>
      <c r="N34" s="982"/>
      <c r="O34" s="982"/>
      <c r="P34" s="982"/>
      <c r="Q34" s="982"/>
      <c r="R34" s="982"/>
      <c r="S34" s="982"/>
      <c r="T34" s="982"/>
      <c r="U34" s="982"/>
    </row>
    <row r="35" spans="2:21" ht="15">
      <c r="B35" s="79"/>
      <c r="C35" s="79"/>
      <c r="D35" s="79"/>
      <c r="E35" s="79"/>
      <c r="F35" s="79"/>
      <c r="G35" s="79"/>
      <c r="H35" s="79"/>
      <c r="I35" s="79"/>
      <c r="J35" s="79"/>
      <c r="K35" s="79"/>
      <c r="L35" s="79"/>
      <c r="M35" s="79"/>
      <c r="N35" s="79"/>
      <c r="O35" s="79"/>
      <c r="P35" s="79"/>
      <c r="Q35" s="79"/>
      <c r="R35" s="79"/>
      <c r="S35" s="79"/>
      <c r="T35" s="79"/>
      <c r="U35" s="79"/>
    </row>
  </sheetData>
  <mergeCells count="12">
    <mergeCell ref="C19:J19"/>
    <mergeCell ref="L19:U19"/>
    <mergeCell ref="F7:G7"/>
    <mergeCell ref="I7:J7"/>
    <mergeCell ref="F6:J6"/>
    <mergeCell ref="L7:N7"/>
    <mergeCell ref="W6:AB6"/>
    <mergeCell ref="W7:Y7"/>
    <mergeCell ref="Z7:AB7"/>
    <mergeCell ref="P7:R7"/>
    <mergeCell ref="S7:U7"/>
    <mergeCell ref="P6:U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65" r:id="rId3" name="Button 1">
              <controlPr defaultSize="0" print="0" autoFill="0" autoPict="0" macro="[0]!SOLAR_FARM_sensitivity">
                <anchor moveWithCells="1" sizeWithCells="1">
                  <from>
                    <xdr:col>7</xdr:col>
                    <xdr:colOff>101600</xdr:colOff>
                    <xdr:row>3</xdr:row>
                    <xdr:rowOff>50800</xdr:rowOff>
                  </from>
                  <to>
                    <xdr:col>9</xdr:col>
                    <xdr:colOff>508000</xdr:colOff>
                    <xdr:row>3</xdr:row>
                    <xdr:rowOff>254000</xdr:rowOff>
                  </to>
                </anchor>
              </controlPr>
            </control>
          </mc:Choice>
        </mc:AlternateContent>
        <mc:AlternateContent xmlns:mc="http://schemas.openxmlformats.org/markup-compatibility/2006">
          <mc:Choice Requires="x14">
            <control shapeId="88066" r:id="rId4" name="Drop Down 2">
              <controlPr defaultSize="0" autoLine="0" autoPict="0">
                <anchor moveWithCells="1">
                  <from>
                    <xdr:col>2</xdr:col>
                    <xdr:colOff>520700</xdr:colOff>
                    <xdr:row>3</xdr:row>
                    <xdr:rowOff>50800</xdr:rowOff>
                  </from>
                  <to>
                    <xdr:col>5</xdr:col>
                    <xdr:colOff>520700</xdr:colOff>
                    <xdr:row>3</xdr:row>
                    <xdr:rowOff>254000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AD152"/>
  <sheetViews>
    <sheetView topLeftCell="A57" zoomScale="70" zoomScaleNormal="70" workbookViewId="0">
      <selection activeCell="P76" sqref="P76"/>
    </sheetView>
  </sheetViews>
  <sheetFormatPr baseColWidth="10" defaultColWidth="9.1640625" defaultRowHeight="15" outlineLevelRow="1"/>
  <cols>
    <col min="1" max="1" width="3.6640625" style="79" customWidth="1"/>
    <col min="2" max="2" width="17.33203125" style="79" customWidth="1"/>
    <col min="3" max="3" width="26.5" style="79" customWidth="1"/>
    <col min="4" max="5" width="10.6640625" style="79" customWidth="1"/>
    <col min="6" max="7" width="10.1640625" style="79" customWidth="1"/>
    <col min="8" max="8" width="10.5" style="79" customWidth="1"/>
    <col min="9" max="10" width="10.1640625" style="79" customWidth="1"/>
    <col min="11" max="12" width="10.6640625" style="79" customWidth="1"/>
    <col min="13" max="13" width="8.1640625" style="79" customWidth="1"/>
    <col min="14" max="14" width="10.5" style="79" customWidth="1"/>
    <col min="15" max="15" width="2.5" style="79" customWidth="1"/>
    <col min="16" max="16" width="11.33203125" style="79" customWidth="1"/>
    <col min="17" max="19" width="14.1640625" style="79" customWidth="1"/>
    <col min="20" max="22" width="8.1640625" style="79" customWidth="1"/>
    <col min="23" max="23" width="2.33203125" style="79" customWidth="1"/>
    <col min="24" max="1025" width="8.1640625" style="79" customWidth="1"/>
    <col min="1026" max="16384" width="9.1640625" style="79"/>
  </cols>
  <sheetData>
    <row r="1" spans="1:13">
      <c r="B1" s="80"/>
      <c r="C1" s="80"/>
      <c r="D1" s="80"/>
      <c r="E1" s="80"/>
      <c r="F1" s="80"/>
      <c r="G1" s="80"/>
      <c r="H1" s="80"/>
      <c r="I1" s="80"/>
      <c r="J1" s="80"/>
      <c r="K1" s="80"/>
    </row>
    <row r="2" spans="1:13">
      <c r="A2" s="193" t="s">
        <v>189</v>
      </c>
      <c r="B2" s="83"/>
      <c r="D2" s="195" t="s">
        <v>190</v>
      </c>
    </row>
    <row r="3" spans="1:13" ht="5.25" customHeight="1">
      <c r="B3" s="83"/>
      <c r="D3" s="179"/>
      <c r="E3" s="100"/>
    </row>
    <row r="4" spans="1:13">
      <c r="A4" s="83"/>
      <c r="B4" s="1488" t="s">
        <v>854</v>
      </c>
      <c r="C4" s="1489"/>
      <c r="D4" s="194" t="str">
        <f>$P$52</f>
        <v>MW</v>
      </c>
      <c r="E4" s="201">
        <v>10</v>
      </c>
    </row>
    <row r="5" spans="1:13">
      <c r="A5" s="83"/>
      <c r="B5" s="1488" t="s">
        <v>170</v>
      </c>
      <c r="C5" s="1489"/>
      <c r="D5" s="194" t="str">
        <f>$Q$52</f>
        <v>MWh</v>
      </c>
      <c r="E5" s="202">
        <f>F5*E4</f>
        <v>150</v>
      </c>
      <c r="F5" s="180">
        <v>15</v>
      </c>
      <c r="G5" s="180" t="s">
        <v>502</v>
      </c>
      <c r="H5" s="180"/>
    </row>
    <row r="6" spans="1:13">
      <c r="B6" s="83"/>
      <c r="D6" s="179"/>
      <c r="E6" s="100"/>
      <c r="G6" s="180" t="s">
        <v>848</v>
      </c>
    </row>
    <row r="7" spans="1:13" ht="19.5" customHeight="1">
      <c r="B7" s="893" t="s">
        <v>659</v>
      </c>
      <c r="C7" s="893"/>
      <c r="D7" s="893"/>
      <c r="E7" s="100"/>
    </row>
    <row r="8" spans="1:13" ht="4.5" customHeight="1">
      <c r="B8" s="83"/>
      <c r="D8" s="179"/>
      <c r="E8" s="100"/>
    </row>
    <row r="9" spans="1:13" ht="19.5" customHeight="1">
      <c r="B9" s="893" t="str">
        <f>'DropDown menus'!$O$3</f>
        <v>Li-ion 2020 performance</v>
      </c>
      <c r="C9" s="893"/>
      <c r="D9" s="893"/>
      <c r="E9" s="100"/>
    </row>
    <row r="10" spans="1:13">
      <c r="B10" s="83"/>
      <c r="D10" s="179"/>
      <c r="E10" s="100"/>
    </row>
    <row r="11" spans="1:13">
      <c r="A11" s="83" t="s">
        <v>186</v>
      </c>
      <c r="B11" s="80"/>
      <c r="C11" s="80"/>
      <c r="D11" s="80"/>
      <c r="E11" s="80"/>
      <c r="F11" s="80"/>
      <c r="G11" s="80"/>
      <c r="H11" s="80"/>
      <c r="I11" s="80"/>
      <c r="J11" s="80"/>
      <c r="K11" s="80"/>
    </row>
    <row r="12" spans="1:13" s="729" customFormat="1" ht="9" customHeight="1">
      <c r="A12" s="718"/>
      <c r="B12" s="726">
        <v>5</v>
      </c>
      <c r="C12" s="727"/>
      <c r="D12" s="728"/>
      <c r="E12" s="593">
        <v>-2</v>
      </c>
      <c r="F12" s="593">
        <v>0</v>
      </c>
      <c r="G12" s="593">
        <f t="shared" ref="G12:L12" si="0">F12+2</f>
        <v>2</v>
      </c>
      <c r="H12" s="593">
        <f t="shared" si="0"/>
        <v>4</v>
      </c>
      <c r="I12" s="593">
        <f t="shared" si="0"/>
        <v>6</v>
      </c>
      <c r="J12" s="593">
        <f t="shared" si="0"/>
        <v>8</v>
      </c>
      <c r="K12" s="593">
        <f t="shared" si="0"/>
        <v>10</v>
      </c>
      <c r="L12" s="593">
        <f t="shared" si="0"/>
        <v>12</v>
      </c>
    </row>
    <row r="13" spans="1:13" outlineLevel="1">
      <c r="A13" s="83"/>
      <c r="B13" s="724"/>
      <c r="C13" s="725"/>
      <c r="D13" s="80"/>
      <c r="E13" s="342">
        <v>2018</v>
      </c>
      <c r="F13" s="94">
        <f t="shared" ref="F13:L13" si="1">E13+2</f>
        <v>2020</v>
      </c>
      <c r="G13" s="94">
        <f t="shared" si="1"/>
        <v>2022</v>
      </c>
      <c r="H13" s="94">
        <f t="shared" si="1"/>
        <v>2024</v>
      </c>
      <c r="I13" s="94">
        <f t="shared" si="1"/>
        <v>2026</v>
      </c>
      <c r="J13" s="94">
        <f t="shared" si="1"/>
        <v>2028</v>
      </c>
      <c r="K13" s="94">
        <f t="shared" si="1"/>
        <v>2030</v>
      </c>
      <c r="L13" s="95">
        <f t="shared" si="1"/>
        <v>2032</v>
      </c>
    </row>
    <row r="14" spans="1:13" outlineLevel="1">
      <c r="B14" s="96"/>
      <c r="C14" s="80" t="s">
        <v>60</v>
      </c>
      <c r="D14" s="80" t="s">
        <v>61</v>
      </c>
      <c r="E14" s="343">
        <v>20</v>
      </c>
      <c r="F14" s="341">
        <f t="shared" ref="F14:L14" si="2">E14</f>
        <v>20</v>
      </c>
      <c r="G14" s="341">
        <f t="shared" si="2"/>
        <v>20</v>
      </c>
      <c r="H14" s="341">
        <f t="shared" si="2"/>
        <v>20</v>
      </c>
      <c r="I14" s="341">
        <f t="shared" si="2"/>
        <v>20</v>
      </c>
      <c r="J14" s="341">
        <f t="shared" si="2"/>
        <v>20</v>
      </c>
      <c r="K14" s="341">
        <f t="shared" si="2"/>
        <v>20</v>
      </c>
      <c r="L14" s="97">
        <f t="shared" si="2"/>
        <v>20</v>
      </c>
    </row>
    <row r="15" spans="1:13" outlineLevel="1">
      <c r="B15" s="96"/>
      <c r="C15" s="80" t="s">
        <v>168</v>
      </c>
      <c r="D15" s="80" t="s">
        <v>169</v>
      </c>
      <c r="E15" s="344">
        <f ca="1">F15/(1+OFFSET('(ANX) LCOE Wind &amp; PV'!$E$14,$B$12-1,0))*(1+OFFSET('(ANX) LCOE Wind &amp; PV'!$E$15,$B$12-1,0))</f>
        <v>0.66317709651148304</v>
      </c>
      <c r="F15" s="1243">
        <f ca="1">OFFSET($P$22,opt_GeoCase,0)</f>
        <v>0.66000000000000014</v>
      </c>
      <c r="G15" s="1241">
        <f ca="1">F15*(1+OFFSET('(ANX) LCOE Wind &amp; PV'!$E$14,G12-2,0))*(1+OFFSET('(ANX) LCOE Wind &amp; PV'!$E$15,G12-1,0))</f>
        <v>0.57899754000000014</v>
      </c>
      <c r="H15" s="1241">
        <f ca="1">G15*(1+OFFSET('(ANX) LCOE Wind &amp; PV'!$E$14,H12-2,0))*(1+OFFSET('(ANX) LCOE Wind &amp; PV'!$E$15,H12-1,0))</f>
        <v>0.52108450431753028</v>
      </c>
      <c r="I15" s="1241">
        <f ca="1">H15*(1+OFFSET('(ANX) LCOE Wind &amp; PV'!$E$14,I12-2,0))*(1+OFFSET('(ANX) LCOE Wind &amp; PV'!$E$15,I12-1,0))</f>
        <v>0.47660319924694472</v>
      </c>
      <c r="J15" s="1241">
        <f ca="1">I15*(1+OFFSET('(ANX) LCOE Wind &amp; PV'!$E$14,J12-2,0))*(1+OFFSET('(ANX) LCOE Wind &amp; PV'!$E$15,J12-1,0))</f>
        <v>0.43801736818397313</v>
      </c>
      <c r="K15" s="1241">
        <f ca="1">J15*(1+OFFSET('(ANX) LCOE Wind &amp; PV'!$E$14,K12-2,0))*(1+OFFSET('(ANX) LCOE Wind &amp; PV'!$E$15,K12-1,0))</f>
        <v>0.40255544892262746</v>
      </c>
      <c r="L15" s="1242">
        <f ca="1">K15*(1+OFFSET('(ANX) LCOE Wind &amp; PV'!$E$14,L12-2,0))*(1+OFFSET('(ANX) LCOE Wind &amp; PV'!$E$15,L12-1,0))</f>
        <v>0.38591610123022485</v>
      </c>
    </row>
    <row r="16" spans="1:13" outlineLevel="1">
      <c r="B16" s="96"/>
      <c r="C16" s="347" t="s">
        <v>221</v>
      </c>
      <c r="D16" s="347" t="s">
        <v>222</v>
      </c>
      <c r="E16" s="670">
        <f t="shared" ref="E16:L16" ca="1" si="3">$R$20</f>
        <v>0.02</v>
      </c>
      <c r="F16" s="671">
        <f t="shared" ca="1" si="3"/>
        <v>0.02</v>
      </c>
      <c r="G16" s="671">
        <f t="shared" ca="1" si="3"/>
        <v>0.02</v>
      </c>
      <c r="H16" s="671">
        <f t="shared" ca="1" si="3"/>
        <v>0.02</v>
      </c>
      <c r="I16" s="671">
        <f t="shared" ca="1" si="3"/>
        <v>0.02</v>
      </c>
      <c r="J16" s="671">
        <f t="shared" ca="1" si="3"/>
        <v>0.02</v>
      </c>
      <c r="K16" s="671">
        <f t="shared" ca="1" si="3"/>
        <v>0.02</v>
      </c>
      <c r="L16" s="672">
        <f t="shared" ca="1" si="3"/>
        <v>0.02</v>
      </c>
      <c r="M16" s="98"/>
    </row>
    <row r="17" spans="1:23" outlineLevel="1">
      <c r="B17" s="96"/>
      <c r="C17" s="345" t="s">
        <v>58</v>
      </c>
      <c r="D17" s="345" t="s">
        <v>223</v>
      </c>
      <c r="E17" s="346">
        <f ca="1">'DropDown menus'!Z9</f>
        <v>4.8</v>
      </c>
      <c r="F17" s="99"/>
      <c r="G17" s="353">
        <v>360</v>
      </c>
      <c r="H17" s="352" t="s">
        <v>62</v>
      </c>
      <c r="I17" s="345"/>
      <c r="J17" s="80"/>
      <c r="K17" s="80"/>
    </row>
    <row r="18" spans="1:23">
      <c r="B18" s="83"/>
      <c r="D18" s="179"/>
      <c r="E18" s="100"/>
      <c r="O18" s="603"/>
      <c r="P18" s="1496" t="s">
        <v>501</v>
      </c>
      <c r="Q18" s="1496"/>
      <c r="R18" s="1496"/>
      <c r="S18" s="1496"/>
      <c r="T18" s="1496"/>
      <c r="U18" s="1496"/>
      <c r="V18" s="1496"/>
      <c r="W18" s="603"/>
    </row>
    <row r="19" spans="1:23" s="83" customFormat="1" ht="17.25" customHeight="1">
      <c r="A19" s="81" t="s">
        <v>205</v>
      </c>
      <c r="B19" s="82"/>
      <c r="C19" s="82"/>
      <c r="D19" s="82"/>
      <c r="E19" s="599" t="s">
        <v>6</v>
      </c>
      <c r="F19" s="1490" t="s">
        <v>455</v>
      </c>
      <c r="G19" s="1491"/>
      <c r="H19" s="1492" t="s">
        <v>159</v>
      </c>
      <c r="I19" s="1492"/>
      <c r="J19" s="1492"/>
      <c r="K19" s="535" t="s">
        <v>158</v>
      </c>
      <c r="L19" s="600" t="s">
        <v>462</v>
      </c>
      <c r="O19" s="604"/>
      <c r="P19" s="1189" t="s">
        <v>463</v>
      </c>
      <c r="Q19" s="1189" t="s">
        <v>236</v>
      </c>
      <c r="R19" s="1189" t="s">
        <v>464</v>
      </c>
      <c r="S19" s="1498" t="s">
        <v>506</v>
      </c>
      <c r="T19" s="1498"/>
      <c r="U19" s="1498"/>
      <c r="V19" s="1498"/>
      <c r="W19" s="605"/>
    </row>
    <row r="20" spans="1:23" ht="17.25" customHeight="1">
      <c r="D20" s="80"/>
      <c r="E20" s="209" t="s">
        <v>7</v>
      </c>
      <c r="F20" s="601">
        <f ca="1">H20</f>
        <v>45261</v>
      </c>
      <c r="G20" s="601">
        <f ca="1">I20</f>
        <v>47088</v>
      </c>
      <c r="H20" s="713">
        <f ca="1">OFFSET('AZA CyclesNbr'!K10,0,'DropDown menus'!U11-2022)</f>
        <v>45261</v>
      </c>
      <c r="I20" s="349">
        <f ca="1">OFFSET('AZA CyclesNbr'!K10,0,'DropDown menus'!U12-2022)</f>
        <v>47088</v>
      </c>
      <c r="J20" s="349" t="str">
        <f>'AZA CyclesNbr'!S10</f>
        <v>LT Goal</v>
      </c>
      <c r="K20" s="602" t="s">
        <v>461</v>
      </c>
      <c r="L20" s="518">
        <v>47088</v>
      </c>
      <c r="O20" s="314"/>
      <c r="P20" s="1190" t="s">
        <v>500</v>
      </c>
      <c r="Q20" s="1190" t="s">
        <v>237</v>
      </c>
      <c r="R20" s="1191">
        <f ca="1">'PV-LCOE'!L18</f>
        <v>0.02</v>
      </c>
      <c r="S20" s="1499"/>
      <c r="T20" s="1499"/>
      <c r="U20" s="1499"/>
      <c r="V20" s="1499"/>
      <c r="W20" s="251"/>
    </row>
    <row r="21" spans="1:23" s="703" customFormat="1" ht="5.25" customHeight="1">
      <c r="B21" s="704"/>
      <c r="C21" s="704"/>
      <c r="D21" s="705"/>
      <c r="E21" s="711"/>
      <c r="F21" s="266"/>
      <c r="G21" s="267"/>
      <c r="H21" s="292"/>
      <c r="I21" s="84"/>
      <c r="J21" s="212"/>
      <c r="K21" s="714"/>
      <c r="L21" s="519"/>
      <c r="O21" s="706"/>
      <c r="P21" s="707"/>
      <c r="Q21" s="707"/>
      <c r="R21" s="708"/>
      <c r="S21" s="709"/>
      <c r="T21" s="709"/>
      <c r="U21" s="709"/>
      <c r="V21" s="709"/>
      <c r="W21" s="710"/>
    </row>
    <row r="22" spans="1:23">
      <c r="B22" s="1494" t="s">
        <v>819</v>
      </c>
      <c r="C22" s="1495"/>
      <c r="D22" s="497" t="s">
        <v>161</v>
      </c>
      <c r="E22" s="711">
        <v>6</v>
      </c>
      <c r="F22" s="266">
        <v>3</v>
      </c>
      <c r="G22" s="267">
        <v>3</v>
      </c>
      <c r="H22" s="292">
        <f>'AZA CyclesNbr'!K9</f>
        <v>5</v>
      </c>
      <c r="I22" s="84">
        <f>'AZA CyclesNbr'!Q9</f>
        <v>5</v>
      </c>
      <c r="J22" s="212">
        <f>'AZA CyclesNbr'!S9</f>
        <v>5</v>
      </c>
      <c r="K22" s="714"/>
      <c r="L22" s="519">
        <v>3</v>
      </c>
      <c r="O22" s="590"/>
      <c r="P22" s="591" t="s">
        <v>54</v>
      </c>
      <c r="Q22" s="591" t="s">
        <v>238</v>
      </c>
      <c r="R22" s="591" t="s">
        <v>499</v>
      </c>
      <c r="S22" s="1497" t="s">
        <v>528</v>
      </c>
      <c r="T22" s="1497"/>
      <c r="U22" s="1497"/>
      <c r="V22" s="1497"/>
      <c r="W22" s="251"/>
    </row>
    <row r="23" spans="1:23">
      <c r="B23" s="1122"/>
      <c r="C23" s="1122" t="s">
        <v>850</v>
      </c>
      <c r="D23" s="497" t="s">
        <v>161</v>
      </c>
      <c r="E23" s="711">
        <v>1</v>
      </c>
      <c r="F23" s="266">
        <v>0.5</v>
      </c>
      <c r="G23" s="267">
        <v>0.5</v>
      </c>
      <c r="H23" s="292">
        <v>3</v>
      </c>
      <c r="I23" s="84">
        <v>2.5</v>
      </c>
      <c r="J23" s="212">
        <v>3</v>
      </c>
      <c r="K23" s="714"/>
      <c r="L23" s="519">
        <v>0.5</v>
      </c>
      <c r="O23" s="592">
        <v>1</v>
      </c>
      <c r="P23" s="819">
        <f ca="1">OFFSET('PV-LCOE'!$F$9,0,$O23-1)*Params!$C$19</f>
        <v>0.60500000000000009</v>
      </c>
      <c r="Q23" s="820">
        <f ca="1">OFFSET('PV-LCOE'!$F$14,0,$O23-1)</f>
        <v>6</v>
      </c>
      <c r="R23" s="820">
        <f ca="1">OFFSET('PV-LCOE'!$F$17,0,$O23-1)*Params!$C$19</f>
        <v>12.100000000000003</v>
      </c>
      <c r="S23" s="821" t="str">
        <f ca="1">OFFSET('DropDown menus'!$X$11,O23-1,0)</f>
        <v>Best Location 
(Chile, Emirates…)</v>
      </c>
      <c r="T23" s="821"/>
      <c r="U23" s="821"/>
      <c r="V23" s="822"/>
      <c r="W23" s="251"/>
    </row>
    <row r="24" spans="1:23">
      <c r="B24" s="1494" t="s">
        <v>851</v>
      </c>
      <c r="C24" s="1495"/>
      <c r="D24" s="497" t="s">
        <v>162</v>
      </c>
      <c r="E24" s="712"/>
      <c r="F24" s="268"/>
      <c r="G24" s="269"/>
      <c r="H24" s="293">
        <v>0.8</v>
      </c>
      <c r="I24" s="211">
        <v>0.8</v>
      </c>
      <c r="J24" s="213">
        <v>0.8</v>
      </c>
      <c r="K24" s="715"/>
      <c r="L24" s="520"/>
      <c r="O24" s="592">
        <f>O23+1</f>
        <v>2</v>
      </c>
      <c r="P24" s="361">
        <f ca="1">OFFSET('PV-LCOE'!$F$9,0,$O24-1)*Params!$C$19</f>
        <v>0.55000000000000004</v>
      </c>
      <c r="Q24" s="586">
        <f ca="1">OFFSET('PV-LCOE'!$F$14,0,$O24-1)</f>
        <v>5.4</v>
      </c>
      <c r="R24" s="586">
        <f ca="1">OFFSET('PV-LCOE'!$F$17,0,$O24-1)*Params!$C$19</f>
        <v>11</v>
      </c>
      <c r="S24" s="79" t="str">
        <f ca="1">OFFSET('DropDown menus'!$X$11,O24-1,0)</f>
        <v>North Africa 
(Tanger, Rabat…)</v>
      </c>
      <c r="V24" s="251"/>
      <c r="W24" s="251"/>
    </row>
    <row r="25" spans="1:23">
      <c r="B25" s="1493" t="s">
        <v>207</v>
      </c>
      <c r="C25" s="1493"/>
      <c r="D25" s="497" t="s">
        <v>1</v>
      </c>
      <c r="E25" s="618">
        <v>100</v>
      </c>
      <c r="F25" s="619">
        <f ca="1">'Cells Cost'!B24/perfLvl_Li_ion</f>
        <v>100.11275999999999</v>
      </c>
      <c r="G25" s="621">
        <f ca="1">'Cells Cost'!B29/perfLvl_Li_ion</f>
        <v>79.109986078394087</v>
      </c>
      <c r="H25" s="619">
        <f ca="1">'Cells Cost'!E24/perfLvl_AZA</f>
        <v>34.408602150537639</v>
      </c>
      <c r="I25" s="620">
        <f ca="1">'Cells Cost'!E29/perfLvl_AZA</f>
        <v>26.064199999999996</v>
      </c>
      <c r="J25" s="621">
        <f ca="1">'Cells Cost'!E31/perfLvl_AZA</f>
        <v>23.522940499999994</v>
      </c>
      <c r="K25" s="1197">
        <v>500</v>
      </c>
      <c r="L25" s="1192">
        <f>L27*(1-L26)</f>
        <v>92.878860380468737</v>
      </c>
      <c r="O25" s="592">
        <f>O24+1</f>
        <v>3</v>
      </c>
      <c r="P25" s="361">
        <f ca="1">OFFSET('PV-LCOE'!$F$9,0,$O25-1)*Params!$C$19</f>
        <v>0.60500000000000009</v>
      </c>
      <c r="Q25" s="586">
        <f ca="1">OFFSET('PV-LCOE'!$F$14,0,$O25-1)</f>
        <v>4.8</v>
      </c>
      <c r="R25" s="586">
        <f ca="1">OFFSET('PV-LCOE'!$F$17,0,$O25-1)*Params!$C$19</f>
        <v>12.100000000000003</v>
      </c>
      <c r="S25" s="79" t="str">
        <f ca="1">OFFSET('DropDown menus'!$X$11,O25-1,0)</f>
        <v>California</v>
      </c>
      <c r="V25" s="251"/>
      <c r="W25" s="251"/>
    </row>
    <row r="26" spans="1:23">
      <c r="B26" s="1507" t="s">
        <v>852</v>
      </c>
      <c r="C26" s="1507"/>
      <c r="D26" s="497" t="s">
        <v>135</v>
      </c>
      <c r="E26" s="510">
        <v>0.2</v>
      </c>
      <c r="F26" s="511">
        <v>0.3</v>
      </c>
      <c r="G26" s="512">
        <v>0.32</v>
      </c>
      <c r="H26" s="1200">
        <f ca="1">I26</f>
        <v>0.49927021598406934</v>
      </c>
      <c r="I26" s="1201">
        <f ca="1">(I28-I25)/I28</f>
        <v>0.49927021598406934</v>
      </c>
      <c r="J26" s="1202">
        <f ca="1">I26</f>
        <v>0.49927021598406934</v>
      </c>
      <c r="K26" s="521">
        <v>0.1</v>
      </c>
      <c r="L26" s="1193">
        <v>0.3</v>
      </c>
      <c r="M26" s="1505" t="s">
        <v>834</v>
      </c>
      <c r="N26" s="1506"/>
      <c r="O26" s="592">
        <f>O25+1</f>
        <v>4</v>
      </c>
      <c r="P26" s="361">
        <f ca="1">OFFSET('PV-LCOE'!$F$9,0,$O26-1)*Params!$C$19</f>
        <v>0.60500000000000009</v>
      </c>
      <c r="Q26" s="586">
        <f ca="1">OFFSET('PV-LCOE'!$F$14,0,$O26-1)</f>
        <v>4.8</v>
      </c>
      <c r="R26" s="586">
        <f ca="1">OFFSET('PV-LCOE'!$F$17,0,$O26-1)*Params!$C$19</f>
        <v>12.100000000000003</v>
      </c>
      <c r="S26" s="79" t="str">
        <f ca="1">OFFSET('DropDown menus'!$X$11,O26-1,0)</f>
        <v xml:space="preserve">Spain, Portugal, </v>
      </c>
      <c r="V26" s="251"/>
      <c r="W26" s="251"/>
    </row>
    <row r="27" spans="1:23">
      <c r="B27" s="503"/>
      <c r="C27" s="610" t="s">
        <v>507</v>
      </c>
      <c r="D27" s="497" t="s">
        <v>1</v>
      </c>
      <c r="E27" s="611">
        <f t="shared" ref="E27:K27" si="4">E25*(1+$M27)</f>
        <v>114.99999999999999</v>
      </c>
      <c r="F27" s="612">
        <f t="shared" ca="1" si="4"/>
        <v>115.12967399999998</v>
      </c>
      <c r="G27" s="613">
        <f t="shared" ca="1" si="4"/>
        <v>90.976483990153199</v>
      </c>
      <c r="H27" s="612">
        <f t="shared" ca="1" si="4"/>
        <v>39.56989247311828</v>
      </c>
      <c r="I27" s="614">
        <f t="shared" ca="1" si="4"/>
        <v>29.973829999999992</v>
      </c>
      <c r="J27" s="613">
        <f t="shared" ca="1" si="4"/>
        <v>27.05138157499999</v>
      </c>
      <c r="K27" s="1198">
        <f t="shared" si="4"/>
        <v>575</v>
      </c>
      <c r="L27" s="1194">
        <f>200*(1-5%)^8</f>
        <v>132.68408625781248</v>
      </c>
      <c r="M27" s="1220">
        <v>0.15</v>
      </c>
      <c r="N27" s="1221">
        <v>-0.04</v>
      </c>
      <c r="O27" s="592">
        <f>O26+1</f>
        <v>5</v>
      </c>
      <c r="P27" s="587">
        <f ca="1">OFFSET('PV-LCOE'!$F$9,0,$O27-1)*Params!$C$19</f>
        <v>0.66000000000000014</v>
      </c>
      <c r="Q27" s="588">
        <f ca="1">OFFSET('PV-LCOE'!$F$14,0,$O27-1)</f>
        <v>3</v>
      </c>
      <c r="R27" s="588">
        <f ca="1">OFFSET('PV-LCOE'!$F$17,0,$O27-1)*Params!$C$19</f>
        <v>13.200000000000003</v>
      </c>
      <c r="S27" s="210" t="str">
        <f ca="1">OFFSET('DropDown menus'!$X$11,O27-1,0)</f>
        <v>Germany, UK…</v>
      </c>
      <c r="T27" s="210"/>
      <c r="U27" s="210"/>
      <c r="V27" s="360"/>
      <c r="W27" s="251"/>
    </row>
    <row r="28" spans="1:23">
      <c r="B28" s="1493" t="s">
        <v>880</v>
      </c>
      <c r="C28" s="1493"/>
      <c r="D28" s="497" t="s">
        <v>1</v>
      </c>
      <c r="E28" s="303">
        <f>E25/(1-E26)</f>
        <v>125</v>
      </c>
      <c r="F28" s="270">
        <f ca="1">F25/(1-F26)</f>
        <v>143.01822857142858</v>
      </c>
      <c r="G28" s="271">
        <f ca="1">G25/(1-G26)</f>
        <v>116.33821482116778</v>
      </c>
      <c r="H28" s="270">
        <f ca="1">OFFSET('Container system'!G97,prm_AZA_perfs,0)</f>
        <v>61.965575697951323</v>
      </c>
      <c r="I28" s="85">
        <f ca="1">OFFSET('Container system'!H97,prm_AZA_perfs,0)</f>
        <v>52.052425943112596</v>
      </c>
      <c r="J28" s="271">
        <f ca="1">J25/(1-J26)</f>
        <v>46.977314413659116</v>
      </c>
      <c r="K28" s="522">
        <f>K25*(1+K26)</f>
        <v>550</v>
      </c>
      <c r="L28" s="1195">
        <f>900*(1-5%)^8</f>
        <v>597.07838816015624</v>
      </c>
      <c r="O28" s="314"/>
      <c r="W28" s="251"/>
    </row>
    <row r="29" spans="1:23">
      <c r="B29" s="1503" t="s">
        <v>134</v>
      </c>
      <c r="C29" s="1503"/>
      <c r="D29" s="497" t="s">
        <v>61</v>
      </c>
      <c r="E29" s="615">
        <v>8</v>
      </c>
      <c r="F29" s="616">
        <v>10</v>
      </c>
      <c r="G29" s="617">
        <v>15</v>
      </c>
      <c r="H29" s="1421">
        <f>'AZA CyclesNbr'!L20*('AZA CyclesNbr'!$C17/'AZA CyclesNbr'!$C12)^H47</f>
        <v>10.464405950757206</v>
      </c>
      <c r="I29" s="1420">
        <f>'AZA CyclesNbr'!Q20*('AZA CyclesNbr'!$C17/'AZA CyclesNbr'!$C12)^I47</f>
        <v>14.388558182291158</v>
      </c>
      <c r="J29" s="1419">
        <f>'AZA CyclesNbr'!S20*('AZA CyclesNbr'!$C17/'AZA CyclesNbr'!$C12)^J47</f>
        <v>20.928811901514411</v>
      </c>
      <c r="K29" s="1199">
        <v>15</v>
      </c>
      <c r="L29" s="1196">
        <f>G29</f>
        <v>15</v>
      </c>
      <c r="O29" s="314"/>
      <c r="S29" s="193" t="s">
        <v>503</v>
      </c>
      <c r="W29" s="251"/>
    </row>
    <row r="30" spans="1:23">
      <c r="B30" s="1245" t="s">
        <v>594</v>
      </c>
      <c r="C30" s="1246" t="s">
        <v>18</v>
      </c>
      <c r="D30" s="1247" t="s">
        <v>132</v>
      </c>
      <c r="E30" s="1248">
        <v>25</v>
      </c>
      <c r="F30" s="1249">
        <v>80</v>
      </c>
      <c r="G30" s="1250">
        <v>90</v>
      </c>
      <c r="H30" s="1251">
        <f ca="1">I30*90%</f>
        <v>48.347107438016515</v>
      </c>
      <c r="I30" s="1252">
        <f ca="1">'Container system'!E40</f>
        <v>53.719008264462794</v>
      </c>
      <c r="J30" s="1253">
        <f ca="1">I30*120%</f>
        <v>64.462809917355344</v>
      </c>
      <c r="K30" s="1254">
        <v>10</v>
      </c>
      <c r="L30" s="1255">
        <v>90</v>
      </c>
      <c r="O30" s="314"/>
      <c r="U30" s="606" t="s">
        <v>187</v>
      </c>
      <c r="V30" s="607">
        <f ca="1">OFFSET('PV-LCOE'!F23,0,$B$12-1)</f>
        <v>-7.5127813981430425E-3</v>
      </c>
      <c r="W30" s="251"/>
    </row>
    <row r="31" spans="1:23">
      <c r="B31" s="774"/>
      <c r="C31" s="776" t="s">
        <v>593</v>
      </c>
      <c r="D31" s="1247" t="s">
        <v>264</v>
      </c>
      <c r="E31" s="781">
        <v>0.5</v>
      </c>
      <c r="F31" s="782">
        <v>0.5</v>
      </c>
      <c r="G31" s="783">
        <v>0.5</v>
      </c>
      <c r="H31" s="778">
        <f ca="1">'Container system'!$P$38*95%</f>
        <v>0.35501667540454929</v>
      </c>
      <c r="I31" s="779">
        <f ca="1">'Container system'!$P$38</f>
        <v>0.37370176358373608</v>
      </c>
      <c r="J31" s="780">
        <f ca="1">'Container system'!$P$38*110%</f>
        <v>0.41107193994210972</v>
      </c>
      <c r="K31" s="784">
        <v>0.5</v>
      </c>
      <c r="L31" s="785">
        <v>0.5</v>
      </c>
      <c r="O31" s="314"/>
      <c r="U31" s="606"/>
      <c r="V31" s="607"/>
      <c r="W31" s="251"/>
    </row>
    <row r="32" spans="1:23">
      <c r="B32" s="775"/>
      <c r="C32" s="777" t="s">
        <v>595</v>
      </c>
      <c r="D32" s="1247" t="s">
        <v>599</v>
      </c>
      <c r="E32" s="1256">
        <f t="shared" ref="E32:L32" si="5">E30*E31</f>
        <v>12.5</v>
      </c>
      <c r="F32" s="1258">
        <f t="shared" si="5"/>
        <v>40</v>
      </c>
      <c r="G32" s="1259">
        <f t="shared" si="5"/>
        <v>45</v>
      </c>
      <c r="H32" s="1261">
        <f t="shared" ca="1" si="5"/>
        <v>17.164029348071178</v>
      </c>
      <c r="I32" s="1262">
        <f t="shared" ca="1" si="5"/>
        <v>20.074888126399038</v>
      </c>
      <c r="J32" s="1263">
        <f t="shared" ca="1" si="5"/>
        <v>26.49885232684673</v>
      </c>
      <c r="K32" s="1257">
        <f t="shared" si="5"/>
        <v>5</v>
      </c>
      <c r="L32" s="1260">
        <f t="shared" si="5"/>
        <v>45</v>
      </c>
      <c r="O32" s="314"/>
      <c r="U32" s="606"/>
      <c r="V32" s="607"/>
      <c r="W32" s="251"/>
    </row>
    <row r="33" spans="2:23">
      <c r="B33" s="1504" t="s">
        <v>195</v>
      </c>
      <c r="C33" s="1504"/>
      <c r="D33" s="602"/>
      <c r="E33" s="304">
        <v>0.85</v>
      </c>
      <c r="F33" s="272">
        <v>0.95</v>
      </c>
      <c r="G33" s="273">
        <v>0.95</v>
      </c>
      <c r="H33" s="919">
        <f ca="1">'DropDown menus'!$AI$9</f>
        <v>0.55000000000000004</v>
      </c>
      <c r="I33" s="920">
        <f ca="1">'DropDown menus'!$AI$9</f>
        <v>0.55000000000000004</v>
      </c>
      <c r="J33" s="921">
        <f ca="1">'DropDown menus'!$AI$9</f>
        <v>0.55000000000000004</v>
      </c>
      <c r="K33" s="1264" t="s">
        <v>853</v>
      </c>
      <c r="L33" s="523">
        <v>0.95</v>
      </c>
      <c r="O33" s="517"/>
      <c r="P33" s="210"/>
      <c r="Q33" s="210"/>
      <c r="R33" s="210"/>
      <c r="S33" s="210"/>
      <c r="T33" s="210"/>
      <c r="U33" s="608" t="s">
        <v>504</v>
      </c>
      <c r="V33" s="609">
        <f ca="1">OFFSET('PV-LCOE'!F24,0,opt_GeoCase-1)</f>
        <v>-0.14000000000000001</v>
      </c>
      <c r="W33" s="360"/>
    </row>
    <row r="34" spans="2:23">
      <c r="B34" s="1493" t="s">
        <v>196</v>
      </c>
      <c r="C34" s="1493"/>
      <c r="D34" s="497"/>
      <c r="E34" s="304">
        <v>0.08</v>
      </c>
      <c r="F34" s="272">
        <f t="shared" ref="F34:L34" si="6">E34</f>
        <v>0.08</v>
      </c>
      <c r="G34" s="273">
        <f t="shared" si="6"/>
        <v>0.08</v>
      </c>
      <c r="H34" s="272">
        <f t="shared" si="6"/>
        <v>0.08</v>
      </c>
      <c r="I34" s="196">
        <f t="shared" si="6"/>
        <v>0.08</v>
      </c>
      <c r="J34" s="273">
        <f t="shared" si="6"/>
        <v>0.08</v>
      </c>
      <c r="K34" s="286">
        <f t="shared" si="6"/>
        <v>0.08</v>
      </c>
      <c r="L34" s="523">
        <f t="shared" si="6"/>
        <v>0.08</v>
      </c>
    </row>
    <row r="35" spans="2:23">
      <c r="B35" s="1494" t="s">
        <v>886</v>
      </c>
      <c r="C35" s="1495"/>
      <c r="D35" s="1301"/>
      <c r="E35" s="304">
        <v>0.06</v>
      </c>
      <c r="F35" s="272">
        <v>0.06</v>
      </c>
      <c r="G35" s="273">
        <v>0.06</v>
      </c>
      <c r="H35" s="1302">
        <v>1.4999999999999999E-2</v>
      </c>
      <c r="I35" s="1303">
        <f>H35</f>
        <v>1.4999999999999999E-2</v>
      </c>
      <c r="J35" s="1304">
        <f>I35</f>
        <v>1.4999999999999999E-2</v>
      </c>
      <c r="K35" s="1305">
        <f>J35</f>
        <v>1.4999999999999999E-2</v>
      </c>
      <c r="L35" s="523">
        <f>G35</f>
        <v>0.06</v>
      </c>
    </row>
    <row r="36" spans="2:23">
      <c r="B36" s="1493" t="s">
        <v>194</v>
      </c>
      <c r="C36" s="1493"/>
      <c r="D36" s="497" t="s">
        <v>135</v>
      </c>
      <c r="E36" s="305">
        <f>E33*(1-E34)*(1-E35)</f>
        <v>0.73507999999999996</v>
      </c>
      <c r="F36" s="274">
        <f t="shared" ref="F36:J36" si="7">F33*(1-F34)*(1-F35)</f>
        <v>0.82155999999999996</v>
      </c>
      <c r="G36" s="275">
        <f t="shared" si="7"/>
        <v>0.82155999999999996</v>
      </c>
      <c r="H36" s="274">
        <f t="shared" ca="1" si="7"/>
        <v>0.49841000000000013</v>
      </c>
      <c r="I36" s="86">
        <f t="shared" ca="1" si="7"/>
        <v>0.49841000000000013</v>
      </c>
      <c r="J36" s="275">
        <f t="shared" ca="1" si="7"/>
        <v>0.49841000000000013</v>
      </c>
      <c r="K36" s="287">
        <v>0.75</v>
      </c>
      <c r="L36" s="524">
        <f>L33*(1-L34)*(1-L35)</f>
        <v>0.82155999999999996</v>
      </c>
      <c r="P36" s="594"/>
    </row>
    <row r="37" spans="2:23" ht="14" customHeight="1">
      <c r="B37" s="1500" t="s">
        <v>163</v>
      </c>
      <c r="C37" s="124" t="s">
        <v>138</v>
      </c>
      <c r="D37" s="497" t="s">
        <v>135</v>
      </c>
      <c r="E37" s="306">
        <v>0.15</v>
      </c>
      <c r="F37" s="276">
        <v>0.1</v>
      </c>
      <c r="G37" s="277">
        <v>0.1</v>
      </c>
      <c r="H37" s="276">
        <v>0</v>
      </c>
      <c r="I37" s="87">
        <f>H37</f>
        <v>0</v>
      </c>
      <c r="J37" s="294">
        <f>H37</f>
        <v>0</v>
      </c>
      <c r="K37" s="287">
        <v>0</v>
      </c>
      <c r="L37" s="525">
        <v>0</v>
      </c>
      <c r="O37" s="79" t="s">
        <v>695</v>
      </c>
      <c r="P37" s="594"/>
    </row>
    <row r="38" spans="2:23">
      <c r="B38" s="1501"/>
      <c r="C38" s="124" t="s">
        <v>139</v>
      </c>
      <c r="D38" s="497" t="s">
        <v>135</v>
      </c>
      <c r="E38" s="306">
        <v>1</v>
      </c>
      <c r="F38" s="276">
        <v>0.9</v>
      </c>
      <c r="G38" s="277">
        <v>0.9</v>
      </c>
      <c r="H38" s="276">
        <v>1</v>
      </c>
      <c r="I38" s="87">
        <f>H38</f>
        <v>1</v>
      </c>
      <c r="J38" s="294">
        <f>H38</f>
        <v>1</v>
      </c>
      <c r="K38" s="287">
        <v>1</v>
      </c>
      <c r="L38" s="525">
        <v>0.9</v>
      </c>
      <c r="P38" s="594"/>
    </row>
    <row r="39" spans="2:23">
      <c r="B39" s="1501"/>
      <c r="C39" s="124" t="s">
        <v>164</v>
      </c>
      <c r="D39" s="497" t="s">
        <v>135</v>
      </c>
      <c r="E39" s="307">
        <f t="shared" ref="E39:J39" si="8">E38-E37</f>
        <v>0.85</v>
      </c>
      <c r="F39" s="278">
        <f t="shared" si="8"/>
        <v>0.8</v>
      </c>
      <c r="G39" s="279">
        <f>G38-G37</f>
        <v>0.8</v>
      </c>
      <c r="H39" s="278">
        <f>H38-H37</f>
        <v>1</v>
      </c>
      <c r="I39" s="88">
        <f t="shared" si="8"/>
        <v>1</v>
      </c>
      <c r="J39" s="279">
        <f t="shared" si="8"/>
        <v>1</v>
      </c>
      <c r="K39" s="288">
        <f>K38-K37</f>
        <v>1</v>
      </c>
      <c r="L39" s="526">
        <f>L38-L37</f>
        <v>0.9</v>
      </c>
    </row>
    <row r="40" spans="2:23">
      <c r="B40" s="1502"/>
      <c r="C40" s="124" t="s">
        <v>140</v>
      </c>
      <c r="D40" s="497" t="s">
        <v>137</v>
      </c>
      <c r="E40" s="308">
        <v>1000</v>
      </c>
      <c r="F40" s="266">
        <f ca="1">'DropDown menus'!S9</f>
        <v>3500</v>
      </c>
      <c r="G40" s="267">
        <f ca="1">'DropDown menus'!S9</f>
        <v>3500</v>
      </c>
      <c r="H40" s="235">
        <f>'AZA CyclesNbr'!K12</f>
        <v>1308.0507438446507</v>
      </c>
      <c r="I40" s="89">
        <f>'AZA CyclesNbr'!Q12</f>
        <v>4185.7623803028828</v>
      </c>
      <c r="J40" s="236">
        <f>'AZA CyclesNbr'!S12</f>
        <v>5009.9755317889312</v>
      </c>
      <c r="K40" s="289">
        <f>365*K29</f>
        <v>5475</v>
      </c>
      <c r="L40" s="519">
        <v>3000</v>
      </c>
    </row>
    <row r="41" spans="2:23" ht="14" customHeight="1">
      <c r="B41" s="1522" t="s">
        <v>165</v>
      </c>
      <c r="C41" s="124" t="s">
        <v>138</v>
      </c>
      <c r="D41" s="497" t="s">
        <v>135</v>
      </c>
      <c r="E41" s="306">
        <v>0.45</v>
      </c>
      <c r="F41" s="276">
        <v>0.1</v>
      </c>
      <c r="G41" s="277">
        <v>0.1</v>
      </c>
      <c r="H41" s="295">
        <v>0.4</v>
      </c>
      <c r="I41" s="90">
        <v>0</v>
      </c>
      <c r="J41" s="296">
        <v>0.11</v>
      </c>
      <c r="K41" s="287">
        <v>0.02</v>
      </c>
      <c r="L41" s="525">
        <v>0.4</v>
      </c>
      <c r="O41" s="93" t="s">
        <v>694</v>
      </c>
    </row>
    <row r="42" spans="2:23">
      <c r="B42" s="1522"/>
      <c r="C42" s="124" t="s">
        <v>139</v>
      </c>
      <c r="D42" s="497" t="s">
        <v>135</v>
      </c>
      <c r="E42" s="306">
        <v>0.95</v>
      </c>
      <c r="F42" s="276">
        <v>0.95</v>
      </c>
      <c r="G42" s="277">
        <v>0.95</v>
      </c>
      <c r="H42" s="297">
        <v>1</v>
      </c>
      <c r="I42" s="90">
        <f>H42</f>
        <v>1</v>
      </c>
      <c r="J42" s="296">
        <v>1</v>
      </c>
      <c r="K42" s="287">
        <v>1</v>
      </c>
      <c r="L42" s="525">
        <v>0.9</v>
      </c>
    </row>
    <row r="43" spans="2:23">
      <c r="B43" s="1522"/>
      <c r="C43" s="124" t="s">
        <v>164</v>
      </c>
      <c r="D43" s="497" t="s">
        <v>135</v>
      </c>
      <c r="E43" s="307">
        <f t="shared" ref="E43:J43" si="9">E42-E41</f>
        <v>0.49999999999999994</v>
      </c>
      <c r="F43" s="278">
        <f t="shared" si="9"/>
        <v>0.85</v>
      </c>
      <c r="G43" s="279">
        <f>G42-G41</f>
        <v>0.85</v>
      </c>
      <c r="H43" s="298">
        <f t="shared" si="9"/>
        <v>0.6</v>
      </c>
      <c r="I43" s="91">
        <f t="shared" si="9"/>
        <v>1</v>
      </c>
      <c r="J43" s="299">
        <f t="shared" si="9"/>
        <v>0.89</v>
      </c>
      <c r="K43" s="288">
        <f>K42-K41</f>
        <v>0.98</v>
      </c>
      <c r="L43" s="526">
        <f>L42-L41</f>
        <v>0.5</v>
      </c>
    </row>
    <row r="44" spans="2:23">
      <c r="B44" s="1522"/>
      <c r="C44" s="124" t="s">
        <v>140</v>
      </c>
      <c r="D44" s="497" t="s">
        <v>137</v>
      </c>
      <c r="E44" s="290">
        <f t="shared" ref="E44" si="10">MROUND(E40*(E38/E43)^E47,10)</f>
        <v>2000</v>
      </c>
      <c r="F44" s="280">
        <f ca="1">MROUND(F40*(100%/F43)^F47,10)</f>
        <v>4220</v>
      </c>
      <c r="G44" s="281">
        <f t="shared" ref="G44:J44" ca="1" si="11">MROUND(G40*(100%/G43)^G47,10)</f>
        <v>4220</v>
      </c>
      <c r="H44" s="280">
        <f t="shared" si="11"/>
        <v>2350</v>
      </c>
      <c r="I44" s="197">
        <f t="shared" si="11"/>
        <v>4190</v>
      </c>
      <c r="J44" s="281">
        <f t="shared" si="11"/>
        <v>5730</v>
      </c>
      <c r="K44" s="290">
        <f>MROUND(K40*(K38/K43)^K47,10)</f>
        <v>5590</v>
      </c>
      <c r="L44" s="527">
        <f>MROUND(L40*(L38/L43)^L47,10)</f>
        <v>5900</v>
      </c>
    </row>
    <row r="45" spans="2:23">
      <c r="B45" s="124"/>
      <c r="C45" s="124" t="s">
        <v>166</v>
      </c>
      <c r="D45" s="497" t="s">
        <v>9</v>
      </c>
      <c r="E45" s="622">
        <f t="shared" ref="E45:J45" si="12">E44/365</f>
        <v>5.4794520547945202</v>
      </c>
      <c r="F45" s="623">
        <f t="shared" ca="1" si="12"/>
        <v>11.561643835616438</v>
      </c>
      <c r="G45" s="624">
        <f t="shared" ca="1" si="12"/>
        <v>11.561643835616438</v>
      </c>
      <c r="H45" s="623">
        <f t="shared" si="12"/>
        <v>6.4383561643835616</v>
      </c>
      <c r="I45" s="625">
        <f t="shared" si="12"/>
        <v>11.479452054794521</v>
      </c>
      <c r="J45" s="624">
        <f t="shared" si="12"/>
        <v>15.698630136986301</v>
      </c>
      <c r="K45" s="626">
        <f>K44/365</f>
        <v>15.315068493150685</v>
      </c>
      <c r="L45" s="627">
        <f>L44/365</f>
        <v>16.164383561643834</v>
      </c>
    </row>
    <row r="46" spans="2:23">
      <c r="B46" s="125" t="s">
        <v>198</v>
      </c>
      <c r="C46" s="124"/>
      <c r="D46" s="497" t="s">
        <v>135</v>
      </c>
      <c r="E46" s="309">
        <f t="shared" ref="E46:J46" si="13">E42-E37</f>
        <v>0.79999999999999993</v>
      </c>
      <c r="F46" s="282">
        <f t="shared" si="13"/>
        <v>0.85</v>
      </c>
      <c r="G46" s="283">
        <f t="shared" si="13"/>
        <v>0.85</v>
      </c>
      <c r="H46" s="300">
        <f t="shared" si="13"/>
        <v>1</v>
      </c>
      <c r="I46" s="92">
        <f t="shared" si="13"/>
        <v>1</v>
      </c>
      <c r="J46" s="301">
        <f t="shared" si="13"/>
        <v>1</v>
      </c>
      <c r="K46" s="291">
        <f>K42-K37</f>
        <v>1</v>
      </c>
      <c r="L46" s="528">
        <f>L42-L37</f>
        <v>0.9</v>
      </c>
    </row>
    <row r="47" spans="2:23">
      <c r="B47" s="198" t="s">
        <v>136</v>
      </c>
      <c r="C47" s="198"/>
      <c r="D47" s="198"/>
      <c r="E47" s="284">
        <v>1</v>
      </c>
      <c r="F47" s="284">
        <v>1.1499999999999999</v>
      </c>
      <c r="G47" s="285">
        <v>1.1499999999999999</v>
      </c>
      <c r="H47" s="284">
        <f>AZA_exp_factor</f>
        <v>1.1499999999999999</v>
      </c>
      <c r="I47" s="302">
        <f>AZA_exp_factor</f>
        <v>1.1499999999999999</v>
      </c>
      <c r="J47" s="285">
        <f>AZA_exp_factor</f>
        <v>1.1499999999999999</v>
      </c>
      <c r="K47" s="302">
        <v>1</v>
      </c>
      <c r="L47" s="529">
        <v>1.1499999999999999</v>
      </c>
      <c r="O47" s="207" t="s">
        <v>167</v>
      </c>
    </row>
    <row r="48" spans="2:23" ht="23.25" customHeight="1">
      <c r="B48" s="83"/>
      <c r="D48" s="179"/>
      <c r="E48" s="100"/>
      <c r="P48" s="181"/>
      <c r="Q48" s="181"/>
      <c r="R48" s="181"/>
      <c r="S48" s="181"/>
    </row>
    <row r="49" spans="1:19">
      <c r="A49" s="193" t="s">
        <v>208</v>
      </c>
      <c r="E49" s="265" t="str">
        <f>E19</f>
        <v>Lead-acid</v>
      </c>
      <c r="F49" s="1523" t="s">
        <v>130</v>
      </c>
      <c r="G49" s="1524"/>
      <c r="H49" s="1525" t="s">
        <v>159</v>
      </c>
      <c r="I49" s="1525"/>
      <c r="J49" s="1525"/>
      <c r="K49" s="1306" t="s">
        <v>158</v>
      </c>
      <c r="L49" s="1307" t="str">
        <f>L19</f>
        <v>Ecomo</v>
      </c>
    </row>
    <row r="50" spans="1:19">
      <c r="E50" s="337" t="str">
        <f>E20</f>
        <v>stable</v>
      </c>
      <c r="F50" s="338">
        <f t="shared" ref="F50:K50" ca="1" si="14">F20</f>
        <v>45261</v>
      </c>
      <c r="G50" s="338">
        <f t="shared" ca="1" si="14"/>
        <v>47088</v>
      </c>
      <c r="H50" s="338">
        <f t="shared" ca="1" si="14"/>
        <v>45261</v>
      </c>
      <c r="I50" s="338">
        <f t="shared" ca="1" si="14"/>
        <v>47088</v>
      </c>
      <c r="J50" s="338" t="str">
        <f t="shared" si="14"/>
        <v>LT Goal</v>
      </c>
      <c r="K50" s="339" t="str">
        <f t="shared" si="14"/>
        <v>BMZ2 / 28</v>
      </c>
      <c r="L50" s="338">
        <f>L20</f>
        <v>47088</v>
      </c>
    </row>
    <row r="51" spans="1:19">
      <c r="A51" s="101"/>
      <c r="B51" s="1526" t="s">
        <v>171</v>
      </c>
      <c r="C51" s="1527"/>
      <c r="D51" s="1265"/>
      <c r="E51" s="313"/>
      <c r="F51" s="227"/>
      <c r="G51" s="228"/>
      <c r="H51" s="227"/>
      <c r="I51" s="106"/>
      <c r="J51" s="228"/>
      <c r="K51" s="327"/>
      <c r="L51" s="228"/>
      <c r="P51" s="396" t="s">
        <v>204</v>
      </c>
      <c r="Q51" s="397"/>
      <c r="R51" s="397"/>
      <c r="S51" s="398"/>
    </row>
    <row r="52" spans="1:19">
      <c r="A52" s="101"/>
      <c r="B52" s="1528" t="s">
        <v>209</v>
      </c>
      <c r="C52" s="1528"/>
      <c r="D52" s="1266" t="s">
        <v>59</v>
      </c>
      <c r="E52" s="310">
        <v>8</v>
      </c>
      <c r="F52" s="221">
        <v>8</v>
      </c>
      <c r="G52" s="323">
        <v>8</v>
      </c>
      <c r="H52" s="336">
        <v>8.5</v>
      </c>
      <c r="I52" s="102">
        <f>H52</f>
        <v>8.5</v>
      </c>
      <c r="J52" s="222">
        <f>H52</f>
        <v>8.5</v>
      </c>
      <c r="K52" s="324">
        <v>8.5</v>
      </c>
      <c r="L52" s="222">
        <v>8</v>
      </c>
      <c r="P52" s="399" t="s">
        <v>185</v>
      </c>
      <c r="Q52" s="395" t="s">
        <v>177</v>
      </c>
      <c r="R52" s="395" t="s">
        <v>202</v>
      </c>
      <c r="S52" s="400" t="s">
        <v>200</v>
      </c>
    </row>
    <row r="53" spans="1:19">
      <c r="A53" s="101"/>
      <c r="B53" s="1267"/>
      <c r="C53" s="1268"/>
      <c r="D53" s="1269" t="str">
        <f>$Q$53</f>
        <v>MWh/day</v>
      </c>
      <c r="E53" s="311">
        <f t="shared" ref="E53:J53" si="15">E52*$E$4</f>
        <v>80</v>
      </c>
      <c r="F53" s="223">
        <f t="shared" si="15"/>
        <v>80</v>
      </c>
      <c r="G53" s="224">
        <f t="shared" si="15"/>
        <v>80</v>
      </c>
      <c r="H53" s="223">
        <f t="shared" si="15"/>
        <v>85</v>
      </c>
      <c r="I53" s="103">
        <f t="shared" si="15"/>
        <v>85</v>
      </c>
      <c r="J53" s="224">
        <f t="shared" si="15"/>
        <v>85</v>
      </c>
      <c r="K53" s="325">
        <f>K52*$E$4</f>
        <v>85</v>
      </c>
      <c r="L53" s="224">
        <f>L52*$E$4</f>
        <v>80</v>
      </c>
      <c r="P53" s="399" t="s">
        <v>192</v>
      </c>
      <c r="Q53" s="395" t="s">
        <v>191</v>
      </c>
      <c r="R53" s="395" t="s">
        <v>206</v>
      </c>
      <c r="S53" s="400" t="s">
        <v>201</v>
      </c>
    </row>
    <row r="54" spans="1:19">
      <c r="A54" s="101"/>
      <c r="B54" s="1270" t="s">
        <v>141</v>
      </c>
      <c r="C54" s="1271"/>
      <c r="D54" s="1272" t="str">
        <f>$Q$53</f>
        <v>MWh/day</v>
      </c>
      <c r="E54" s="1273">
        <f t="shared" ref="E54:L54" si="16">$E$5-E53</f>
        <v>70</v>
      </c>
      <c r="F54" s="1274">
        <f t="shared" si="16"/>
        <v>70</v>
      </c>
      <c r="G54" s="1275">
        <f t="shared" si="16"/>
        <v>70</v>
      </c>
      <c r="H54" s="1274">
        <f t="shared" si="16"/>
        <v>65</v>
      </c>
      <c r="I54" s="1276">
        <f t="shared" si="16"/>
        <v>65</v>
      </c>
      <c r="J54" s="1275">
        <f t="shared" si="16"/>
        <v>65</v>
      </c>
      <c r="K54" s="1277">
        <f t="shared" si="16"/>
        <v>65</v>
      </c>
      <c r="L54" s="1275">
        <f t="shared" si="16"/>
        <v>70</v>
      </c>
      <c r="P54" s="401"/>
      <c r="Q54" s="402">
        <v>1000</v>
      </c>
      <c r="R54" s="403" t="s">
        <v>536</v>
      </c>
      <c r="S54" s="404"/>
    </row>
    <row r="55" spans="1:19">
      <c r="A55" s="101"/>
      <c r="B55" s="1278"/>
      <c r="C55" s="105" t="s">
        <v>855</v>
      </c>
      <c r="D55" s="214" t="str">
        <f>$Q$53</f>
        <v>MWh/day</v>
      </c>
      <c r="E55" s="313">
        <f t="shared" ref="E55:L55" si="17">E54/E36</f>
        <v>95.22773031506776</v>
      </c>
      <c r="F55" s="227">
        <f t="shared" si="17"/>
        <v>85.203758702955355</v>
      </c>
      <c r="G55" s="228">
        <f t="shared" si="17"/>
        <v>85.203758702955355</v>
      </c>
      <c r="H55" s="227">
        <f t="shared" ca="1" si="17"/>
        <v>130.41471880580241</v>
      </c>
      <c r="I55" s="106">
        <f t="shared" ca="1" si="17"/>
        <v>130.41471880580241</v>
      </c>
      <c r="J55" s="228">
        <f t="shared" ca="1" si="17"/>
        <v>130.41471880580241</v>
      </c>
      <c r="K55" s="327">
        <f t="shared" si="17"/>
        <v>86.666666666666671</v>
      </c>
      <c r="L55" s="228">
        <f t="shared" si="17"/>
        <v>85.203758702955355</v>
      </c>
    </row>
    <row r="56" spans="1:19" s="83" customFormat="1">
      <c r="A56" s="107"/>
      <c r="B56" s="217"/>
      <c r="C56" s="1279" t="s">
        <v>172</v>
      </c>
      <c r="D56" s="215" t="str">
        <f>$Q$53</f>
        <v>MWh/day</v>
      </c>
      <c r="E56" s="311">
        <f t="shared" ref="E56:L56" si="18">E55</f>
        <v>95.22773031506776</v>
      </c>
      <c r="F56" s="223">
        <f t="shared" si="18"/>
        <v>85.203758702955355</v>
      </c>
      <c r="G56" s="224">
        <f t="shared" si="18"/>
        <v>85.203758702955355</v>
      </c>
      <c r="H56" s="223">
        <f t="shared" ca="1" si="18"/>
        <v>130.41471880580241</v>
      </c>
      <c r="I56" s="103">
        <f t="shared" ca="1" si="18"/>
        <v>130.41471880580241</v>
      </c>
      <c r="J56" s="224">
        <f t="shared" ca="1" si="18"/>
        <v>130.41471880580241</v>
      </c>
      <c r="K56" s="325">
        <f t="shared" si="18"/>
        <v>86.666666666666671</v>
      </c>
      <c r="L56" s="224">
        <f t="shared" si="18"/>
        <v>85.203758702955355</v>
      </c>
    </row>
    <row r="57" spans="1:19">
      <c r="D57" s="216"/>
      <c r="E57" s="314"/>
      <c r="F57" s="229"/>
      <c r="G57" s="230"/>
      <c r="H57" s="229"/>
      <c r="I57" s="108"/>
      <c r="J57" s="230"/>
      <c r="L57" s="230"/>
    </row>
    <row r="58" spans="1:19">
      <c r="A58" s="107"/>
      <c r="B58" s="82"/>
      <c r="C58" s="96" t="s">
        <v>203</v>
      </c>
      <c r="D58" s="82" t="str">
        <f>$Q$53</f>
        <v>MWh/day</v>
      </c>
      <c r="E58" s="312">
        <f t="shared" ref="E58:L58" si="19">E56+E53</f>
        <v>175.22773031506776</v>
      </c>
      <c r="F58" s="225">
        <f t="shared" si="19"/>
        <v>165.20375870295535</v>
      </c>
      <c r="G58" s="226">
        <f t="shared" si="19"/>
        <v>165.20375870295535</v>
      </c>
      <c r="H58" s="225">
        <f t="shared" ca="1" si="19"/>
        <v>215.41471880580241</v>
      </c>
      <c r="I58" s="104">
        <f t="shared" ca="1" si="19"/>
        <v>215.41471880580241</v>
      </c>
      <c r="J58" s="226">
        <f t="shared" ca="1" si="19"/>
        <v>215.41471880580241</v>
      </c>
      <c r="K58" s="326">
        <f t="shared" si="19"/>
        <v>171.66666666666669</v>
      </c>
      <c r="L58" s="226">
        <f t="shared" si="19"/>
        <v>165.20375870295535</v>
      </c>
    </row>
    <row r="59" spans="1:19">
      <c r="A59" s="101"/>
      <c r="B59" s="80"/>
      <c r="C59" s="105" t="s">
        <v>193</v>
      </c>
      <c r="D59" s="217"/>
      <c r="E59" s="313"/>
      <c r="F59" s="227"/>
      <c r="G59" s="228"/>
      <c r="H59" s="227"/>
      <c r="I59" s="106"/>
      <c r="J59" s="228"/>
      <c r="K59" s="327"/>
      <c r="L59" s="228"/>
    </row>
    <row r="60" spans="1:19">
      <c r="A60" s="101"/>
      <c r="B60" s="1521" t="s">
        <v>143</v>
      </c>
      <c r="C60" s="1521"/>
      <c r="D60" s="218" t="str">
        <f>$Q$53</f>
        <v>MWh/day</v>
      </c>
      <c r="E60" s="312">
        <f>E58-E59</f>
        <v>175.22773031506776</v>
      </c>
      <c r="F60" s="225">
        <f>F58-F59</f>
        <v>165.20375870295535</v>
      </c>
      <c r="G60" s="226">
        <f t="shared" ref="G60:L60" si="20">G58-G59</f>
        <v>165.20375870295535</v>
      </c>
      <c r="H60" s="225">
        <f t="shared" ca="1" si="20"/>
        <v>215.41471880580241</v>
      </c>
      <c r="I60" s="104">
        <f t="shared" ca="1" si="20"/>
        <v>215.41471880580241</v>
      </c>
      <c r="J60" s="226">
        <f t="shared" ca="1" si="20"/>
        <v>215.41471880580241</v>
      </c>
      <c r="K60" s="326">
        <f t="shared" si="20"/>
        <v>171.66666666666669</v>
      </c>
      <c r="L60" s="226">
        <f t="shared" si="20"/>
        <v>165.20375870295535</v>
      </c>
    </row>
    <row r="61" spans="1:19">
      <c r="A61" s="101"/>
      <c r="B61" s="80"/>
      <c r="C61" s="105" t="s">
        <v>144</v>
      </c>
      <c r="D61" s="219" t="str">
        <f>$P$53</f>
        <v>MWp</v>
      </c>
      <c r="E61" s="315">
        <f t="shared" ref="E61:L61" ca="1" si="21">E60/$E$17</f>
        <v>36.505777148972449</v>
      </c>
      <c r="F61" s="231">
        <f t="shared" ca="1" si="21"/>
        <v>34.417449729782369</v>
      </c>
      <c r="G61" s="232">
        <f t="shared" ca="1" si="21"/>
        <v>34.417449729782369</v>
      </c>
      <c r="H61" s="231">
        <f t="shared" ca="1" si="21"/>
        <v>44.878066417875502</v>
      </c>
      <c r="I61" s="199">
        <f t="shared" ca="1" si="21"/>
        <v>44.878066417875502</v>
      </c>
      <c r="J61" s="232">
        <f t="shared" ca="1" si="21"/>
        <v>44.878066417875502</v>
      </c>
      <c r="K61" s="328">
        <f t="shared" ca="1" si="21"/>
        <v>35.763888888888893</v>
      </c>
      <c r="L61" s="232">
        <f t="shared" ca="1" si="21"/>
        <v>34.417449729782369</v>
      </c>
      <c r="P61" s="79" t="s">
        <v>552</v>
      </c>
    </row>
    <row r="62" spans="1:19">
      <c r="A62" s="101"/>
      <c r="B62" s="101"/>
      <c r="C62" s="105" t="s">
        <v>142</v>
      </c>
      <c r="D62" s="628">
        <f ca="1">-V33</f>
        <v>0.14000000000000001</v>
      </c>
      <c r="E62" s="315">
        <f t="shared" ref="E62:L62" ca="1" si="22">E61*$D62</f>
        <v>5.1108088008561436</v>
      </c>
      <c r="F62" s="231">
        <f t="shared" ca="1" si="22"/>
        <v>4.8184429621695317</v>
      </c>
      <c r="G62" s="232">
        <f t="shared" ca="1" si="22"/>
        <v>4.8184429621695317</v>
      </c>
      <c r="H62" s="231">
        <f t="shared" ca="1" si="22"/>
        <v>6.2829292985025704</v>
      </c>
      <c r="I62" s="199">
        <f t="shared" ca="1" si="22"/>
        <v>6.2829292985025704</v>
      </c>
      <c r="J62" s="232">
        <f t="shared" ca="1" si="22"/>
        <v>6.2829292985025704</v>
      </c>
      <c r="K62" s="328">
        <f t="shared" ca="1" si="22"/>
        <v>5.0069444444444455</v>
      </c>
      <c r="L62" s="232">
        <f t="shared" ca="1" si="22"/>
        <v>4.8184429621695317</v>
      </c>
    </row>
    <row r="63" spans="1:19">
      <c r="A63" s="101"/>
      <c r="B63" s="1513" t="s">
        <v>145</v>
      </c>
      <c r="C63" s="1513"/>
      <c r="D63" s="220" t="str">
        <f>$P$53</f>
        <v>MWp</v>
      </c>
      <c r="E63" s="316">
        <f t="shared" ref="E63:L63" ca="1" si="23">E61+E62</f>
        <v>41.61658594982859</v>
      </c>
      <c r="F63" s="233">
        <f t="shared" ca="1" si="23"/>
        <v>39.235892691951904</v>
      </c>
      <c r="G63" s="234">
        <f t="shared" ca="1" si="23"/>
        <v>39.235892691951904</v>
      </c>
      <c r="H63" s="233">
        <f t="shared" ca="1" si="23"/>
        <v>51.160995716378075</v>
      </c>
      <c r="I63" s="200">
        <f t="shared" ca="1" si="23"/>
        <v>51.160995716378075</v>
      </c>
      <c r="J63" s="234">
        <f t="shared" ca="1" si="23"/>
        <v>51.160995716378075</v>
      </c>
      <c r="K63" s="329">
        <f t="shared" ca="1" si="23"/>
        <v>40.770833333333336</v>
      </c>
      <c r="L63" s="234">
        <f t="shared" ca="1" si="23"/>
        <v>39.235892691951904</v>
      </c>
    </row>
    <row r="64" spans="1:19">
      <c r="D64" s="216"/>
      <c r="E64" s="314"/>
      <c r="F64" s="229"/>
      <c r="G64" s="230"/>
      <c r="H64" s="229"/>
      <c r="I64" s="108"/>
      <c r="J64" s="230"/>
      <c r="L64" s="230"/>
      <c r="Q64" s="988" t="s">
        <v>707</v>
      </c>
      <c r="R64" s="988"/>
      <c r="S64" s="988" t="s">
        <v>706</v>
      </c>
    </row>
    <row r="65" spans="1:19">
      <c r="A65" s="101"/>
      <c r="B65" s="1514" t="s">
        <v>197</v>
      </c>
      <c r="C65" s="1515"/>
      <c r="D65" s="220" t="str">
        <f>$Q$52</f>
        <v>MWh</v>
      </c>
      <c r="E65" s="317">
        <f t="shared" ref="E65:J65" si="24">E54</f>
        <v>70</v>
      </c>
      <c r="F65" s="235">
        <f t="shared" si="24"/>
        <v>70</v>
      </c>
      <c r="G65" s="236">
        <f t="shared" si="24"/>
        <v>70</v>
      </c>
      <c r="H65" s="235">
        <f t="shared" si="24"/>
        <v>65</v>
      </c>
      <c r="I65" s="89">
        <f t="shared" si="24"/>
        <v>65</v>
      </c>
      <c r="J65" s="236">
        <f t="shared" si="24"/>
        <v>65</v>
      </c>
      <c r="K65" s="330">
        <f>K54</f>
        <v>65</v>
      </c>
      <c r="L65" s="236">
        <f>L54</f>
        <v>70</v>
      </c>
      <c r="P65" s="984" t="s">
        <v>703</v>
      </c>
      <c r="Q65" s="985">
        <f ca="1">(F79+F83)/F63/1000</f>
        <v>0.65398761916952608</v>
      </c>
      <c r="R65" s="986"/>
      <c r="S65" s="985">
        <f ca="1">(H79+H83)/H63/1000</f>
        <v>0.64864799042461374</v>
      </c>
    </row>
    <row r="66" spans="1:19">
      <c r="A66" s="101"/>
      <c r="B66" s="101"/>
      <c r="C66" s="105" t="s">
        <v>142</v>
      </c>
      <c r="D66" s="978">
        <v>0.3</v>
      </c>
      <c r="E66" s="315">
        <f>E65*(1/(1-$D66)-1)</f>
        <v>30.000000000000004</v>
      </c>
      <c r="F66" s="231">
        <f t="shared" ref="F66:L66" si="25">F65*(1/(1-$D66)-1)</f>
        <v>30.000000000000004</v>
      </c>
      <c r="G66" s="232">
        <f t="shared" si="25"/>
        <v>30.000000000000004</v>
      </c>
      <c r="H66" s="231">
        <f t="shared" si="25"/>
        <v>27.857142857142858</v>
      </c>
      <c r="I66" s="199">
        <f t="shared" si="25"/>
        <v>27.857142857142858</v>
      </c>
      <c r="J66" s="232">
        <f t="shared" si="25"/>
        <v>27.857142857142858</v>
      </c>
      <c r="K66" s="328">
        <f t="shared" si="25"/>
        <v>27.857142857142858</v>
      </c>
      <c r="L66" s="232">
        <f t="shared" si="25"/>
        <v>30.000000000000004</v>
      </c>
      <c r="P66" s="984" t="s">
        <v>704</v>
      </c>
      <c r="Q66" s="985">
        <f ca="1">(F80+F84)/F63/1000/$P$86</f>
        <v>1.2913439821696035E-2</v>
      </c>
      <c r="R66" s="986"/>
      <c r="S66" s="985">
        <f ca="1">(H80+H84)/H63/1000/$P$86</f>
        <v>1.2860043534246912E-2</v>
      </c>
    </row>
    <row r="67" spans="1:19">
      <c r="A67" s="101"/>
      <c r="B67" s="787" t="s">
        <v>601</v>
      </c>
      <c r="C67" s="787"/>
      <c r="D67" s="220" t="str">
        <f>$Q$52</f>
        <v>MWh</v>
      </c>
      <c r="E67" s="317">
        <f t="shared" ref="E67:L67" si="26">(E66+E65)/E43</f>
        <v>200.00000000000003</v>
      </c>
      <c r="F67" s="235">
        <f t="shared" si="26"/>
        <v>117.64705882352942</v>
      </c>
      <c r="G67" s="236">
        <f t="shared" si="26"/>
        <v>117.64705882352942</v>
      </c>
      <c r="H67" s="235">
        <f t="shared" si="26"/>
        <v>154.76190476190479</v>
      </c>
      <c r="I67" s="89">
        <f t="shared" si="26"/>
        <v>92.857142857142861</v>
      </c>
      <c r="J67" s="236">
        <f t="shared" si="26"/>
        <v>104.3338683788122</v>
      </c>
      <c r="K67" s="330">
        <f t="shared" si="26"/>
        <v>94.75218658892129</v>
      </c>
      <c r="L67" s="236">
        <f t="shared" si="26"/>
        <v>200</v>
      </c>
      <c r="P67" s="984" t="s">
        <v>705</v>
      </c>
      <c r="Q67" s="987">
        <f ca="1">Q66/Q65</f>
        <v>1.9745694632712342E-2</v>
      </c>
      <c r="R67" s="986"/>
      <c r="S67" s="987">
        <f ca="1">S66/S65</f>
        <v>1.982592056722253E-2</v>
      </c>
    </row>
    <row r="68" spans="1:19">
      <c r="A68" s="101"/>
      <c r="B68" s="791" t="s">
        <v>398</v>
      </c>
      <c r="C68" s="789" t="s">
        <v>374</v>
      </c>
      <c r="D68" s="786" t="str">
        <f>R53</f>
        <v>ton</v>
      </c>
      <c r="E68" s="318">
        <f t="shared" ref="E68:L68" si="27">E67*1000/E30</f>
        <v>8000.0000000000009</v>
      </c>
      <c r="F68" s="237">
        <f t="shared" si="27"/>
        <v>1470.5882352941178</v>
      </c>
      <c r="G68" s="238">
        <f t="shared" si="27"/>
        <v>1307.1895424836603</v>
      </c>
      <c r="H68" s="237">
        <f t="shared" ca="1" si="27"/>
        <v>3201.0582010582025</v>
      </c>
      <c r="I68" s="109">
        <f t="shared" ca="1" si="27"/>
        <v>1728.5714285714291</v>
      </c>
      <c r="J68" s="238">
        <f t="shared" ca="1" si="27"/>
        <v>1618.5125735687541</v>
      </c>
      <c r="K68" s="331">
        <f t="shared" si="27"/>
        <v>9475.2186588921286</v>
      </c>
      <c r="L68" s="238">
        <f t="shared" si="27"/>
        <v>2222.2222222222222</v>
      </c>
    </row>
    <row r="69" spans="1:19">
      <c r="A69" s="101"/>
      <c r="B69" s="788"/>
      <c r="C69" s="790" t="s">
        <v>600</v>
      </c>
      <c r="D69" s="786" t="s">
        <v>175</v>
      </c>
      <c r="E69" s="318">
        <f t="shared" ref="E69:L69" si="28">E68/E31</f>
        <v>16000.000000000002</v>
      </c>
      <c r="F69" s="237">
        <f t="shared" si="28"/>
        <v>2941.1764705882356</v>
      </c>
      <c r="G69" s="238">
        <f t="shared" si="28"/>
        <v>2614.3790849673205</v>
      </c>
      <c r="H69" s="237">
        <f t="shared" ca="1" si="28"/>
        <v>9016.6418166429121</v>
      </c>
      <c r="I69" s="109">
        <f t="shared" ca="1" si="28"/>
        <v>4625.5372519378134</v>
      </c>
      <c r="J69" s="238">
        <f t="shared" ca="1" si="28"/>
        <v>3937.2976267771655</v>
      </c>
      <c r="K69" s="331">
        <f t="shared" si="28"/>
        <v>18950.437317784257</v>
      </c>
      <c r="L69" s="238">
        <f t="shared" si="28"/>
        <v>4444.4444444444443</v>
      </c>
      <c r="P69" s="984" t="s">
        <v>708</v>
      </c>
      <c r="Q69" s="990">
        <f ca="1">(F81+F85)/F54/$P$86</f>
        <v>30.831868754023045</v>
      </c>
      <c r="R69" s="986"/>
      <c r="S69" s="989">
        <f ca="1">(H81+H85)/H54/$P$86</f>
        <v>21.024416936109326</v>
      </c>
    </row>
    <row r="70" spans="1:19">
      <c r="A70" s="83"/>
      <c r="B70" s="1516" t="s">
        <v>199</v>
      </c>
      <c r="C70" s="1516"/>
      <c r="D70" s="220" t="s">
        <v>135</v>
      </c>
      <c r="E70" s="319">
        <f t="shared" ref="E70:L70" ca="1" si="29">E54/(E67*(1-$D$62))</f>
        <v>0.40697674418604646</v>
      </c>
      <c r="F70" s="239">
        <f t="shared" ca="1" si="29"/>
        <v>0.69186046511627897</v>
      </c>
      <c r="G70" s="240">
        <f t="shared" ca="1" si="29"/>
        <v>0.69186046511627897</v>
      </c>
      <c r="H70" s="239">
        <f t="shared" ca="1" si="29"/>
        <v>0.48837209302325579</v>
      </c>
      <c r="I70" s="110">
        <f t="shared" ca="1" si="29"/>
        <v>0.81395348837209303</v>
      </c>
      <c r="J70" s="240">
        <f t="shared" ca="1" si="29"/>
        <v>0.72441860465116281</v>
      </c>
      <c r="K70" s="332">
        <f t="shared" ca="1" si="29"/>
        <v>0.79767441860465105</v>
      </c>
      <c r="L70" s="240">
        <f t="shared" ca="1" si="29"/>
        <v>0.40697674418604651</v>
      </c>
      <c r="P70" s="984" t="s">
        <v>708</v>
      </c>
      <c r="Q70" s="990">
        <f ca="1">(F82+F86)/F54/$P$86</f>
        <v>6.3037458270252031</v>
      </c>
      <c r="R70" s="986"/>
      <c r="S70" s="989">
        <f ca="1">(H82+H86)/H54/$P$86</f>
        <v>4.0131332199858711</v>
      </c>
    </row>
    <row r="71" spans="1:19">
      <c r="A71" s="83"/>
      <c r="B71" s="248" t="s">
        <v>147</v>
      </c>
      <c r="C71" s="249"/>
      <c r="D71" s="254"/>
      <c r="E71" s="320">
        <f t="shared" ref="E71:L71" si="30">E42</f>
        <v>0.95</v>
      </c>
      <c r="F71" s="241">
        <f t="shared" si="30"/>
        <v>0.95</v>
      </c>
      <c r="G71" s="242">
        <f t="shared" si="30"/>
        <v>0.95</v>
      </c>
      <c r="H71" s="241">
        <f t="shared" si="30"/>
        <v>1</v>
      </c>
      <c r="I71" s="111">
        <f t="shared" si="30"/>
        <v>1</v>
      </c>
      <c r="J71" s="242">
        <f t="shared" si="30"/>
        <v>1</v>
      </c>
      <c r="K71" s="333">
        <f t="shared" si="30"/>
        <v>1</v>
      </c>
      <c r="L71" s="242">
        <f t="shared" si="30"/>
        <v>0.9</v>
      </c>
      <c r="P71" s="984" t="s">
        <v>705</v>
      </c>
      <c r="Q71" s="987">
        <f ca="1">Q70/Q69</f>
        <v>0.20445552221685134</v>
      </c>
      <c r="R71" s="986"/>
      <c r="S71" s="987">
        <f ca="1">S70/S69</f>
        <v>0.19087964399589774</v>
      </c>
    </row>
    <row r="72" spans="1:19">
      <c r="B72" s="250" t="s">
        <v>148</v>
      </c>
      <c r="D72" s="251"/>
      <c r="E72" s="319">
        <f t="shared" ref="E72:L72" ca="1" si="31">E71-E70</f>
        <v>0.5430232558139535</v>
      </c>
      <c r="F72" s="239">
        <f t="shared" ca="1" si="31"/>
        <v>0.25813953488372099</v>
      </c>
      <c r="G72" s="240">
        <f t="shared" ca="1" si="31"/>
        <v>0.25813953488372099</v>
      </c>
      <c r="H72" s="239">
        <f t="shared" ca="1" si="31"/>
        <v>0.51162790697674421</v>
      </c>
      <c r="I72" s="110">
        <f t="shared" ca="1" si="31"/>
        <v>0.18604651162790697</v>
      </c>
      <c r="J72" s="240">
        <f t="shared" ca="1" si="31"/>
        <v>0.27558139534883719</v>
      </c>
      <c r="K72" s="332">
        <f t="shared" ca="1" si="31"/>
        <v>0.20232558139534895</v>
      </c>
      <c r="L72" s="240">
        <f t="shared" ca="1" si="31"/>
        <v>0.49302325581395351</v>
      </c>
    </row>
    <row r="73" spans="1:19">
      <c r="B73" s="250" t="s">
        <v>8</v>
      </c>
      <c r="D73" s="252" t="s">
        <v>146</v>
      </c>
      <c r="E73" s="312">
        <f>E44</f>
        <v>2000</v>
      </c>
      <c r="F73" s="225">
        <f ca="1">F44</f>
        <v>4220</v>
      </c>
      <c r="G73" s="226">
        <f ca="1">G44</f>
        <v>4220</v>
      </c>
      <c r="H73" s="235">
        <f ca="1">MROUND(H40*(H39/H70)^H47,10)</f>
        <v>2980</v>
      </c>
      <c r="I73" s="89">
        <f ca="1">MROUND(I40*(I39/I70)^I47,10)</f>
        <v>5300</v>
      </c>
      <c r="J73" s="236">
        <f ca="1">MROUND(J40*(J39/J70)^J47,10)</f>
        <v>7260</v>
      </c>
      <c r="K73" s="330">
        <f>K44</f>
        <v>5590</v>
      </c>
      <c r="L73" s="236">
        <f>L44</f>
        <v>5900</v>
      </c>
    </row>
    <row r="74" spans="1:19">
      <c r="B74" s="250" t="s">
        <v>166</v>
      </c>
      <c r="D74" s="252" t="s">
        <v>61</v>
      </c>
      <c r="E74" s="321">
        <f>E73/$B$86</f>
        <v>5.5555555555555554</v>
      </c>
      <c r="F74" s="243">
        <f t="shared" ref="F74:L74" ca="1" si="32">F73/$B$86</f>
        <v>11.722222222222221</v>
      </c>
      <c r="G74" s="244">
        <f t="shared" ca="1" si="32"/>
        <v>11.722222222222221</v>
      </c>
      <c r="H74" s="243">
        <f t="shared" ca="1" si="32"/>
        <v>8.2777777777777786</v>
      </c>
      <c r="I74" s="112">
        <f t="shared" ca="1" si="32"/>
        <v>14.722222222222221</v>
      </c>
      <c r="J74" s="244">
        <f t="shared" ca="1" si="32"/>
        <v>20.166666666666668</v>
      </c>
      <c r="K74" s="334">
        <f t="shared" si="32"/>
        <v>15.527777777777779</v>
      </c>
      <c r="L74" s="244">
        <f t="shared" si="32"/>
        <v>16.388888888888889</v>
      </c>
    </row>
    <row r="75" spans="1:19" ht="16" thickBot="1">
      <c r="B75" s="250" t="s">
        <v>856</v>
      </c>
      <c r="D75" s="252"/>
      <c r="E75" s="319">
        <v>0.8</v>
      </c>
      <c r="F75" s="239">
        <v>0.9</v>
      </c>
      <c r="G75" s="240">
        <v>0.9</v>
      </c>
      <c r="H75" s="239">
        <v>1</v>
      </c>
      <c r="I75" s="110">
        <v>1</v>
      </c>
      <c r="J75" s="240">
        <v>1</v>
      </c>
      <c r="K75" s="332">
        <v>1</v>
      </c>
      <c r="L75" s="240">
        <v>0.9</v>
      </c>
    </row>
    <row r="76" spans="1:19">
      <c r="B76" s="1517" t="s">
        <v>149</v>
      </c>
      <c r="C76" s="1518"/>
      <c r="D76" s="253" t="s">
        <v>146</v>
      </c>
      <c r="E76" s="317">
        <f t="shared" ref="E76:L76" si="33">E73*E75</f>
        <v>1600</v>
      </c>
      <c r="F76" s="235">
        <f t="shared" ca="1" si="33"/>
        <v>3798</v>
      </c>
      <c r="G76" s="236">
        <f t="shared" ca="1" si="33"/>
        <v>3798</v>
      </c>
      <c r="H76" s="235">
        <f t="shared" ca="1" si="33"/>
        <v>2980</v>
      </c>
      <c r="I76" s="89">
        <f t="shared" ca="1" si="33"/>
        <v>5300</v>
      </c>
      <c r="J76" s="236">
        <f t="shared" ca="1" si="33"/>
        <v>7260</v>
      </c>
      <c r="K76" s="330">
        <f t="shared" si="33"/>
        <v>5590</v>
      </c>
      <c r="L76" s="236">
        <f t="shared" si="33"/>
        <v>5310</v>
      </c>
      <c r="P76" s="686" t="s">
        <v>837</v>
      </c>
      <c r="Q76" s="654"/>
      <c r="R76" s="654"/>
      <c r="S76" s="655"/>
    </row>
    <row r="77" spans="1:19" ht="16" thickBot="1">
      <c r="B77" s="1517"/>
      <c r="C77" s="1518"/>
      <c r="D77" s="253" t="s">
        <v>61</v>
      </c>
      <c r="E77" s="322">
        <f t="shared" ref="E77:J77" si="34">E76/365</f>
        <v>4.3835616438356162</v>
      </c>
      <c r="F77" s="245">
        <f t="shared" ca="1" si="34"/>
        <v>10.405479452054795</v>
      </c>
      <c r="G77" s="246">
        <f ca="1">G76/365</f>
        <v>10.405479452054795</v>
      </c>
      <c r="H77" s="245">
        <f t="shared" ca="1" si="34"/>
        <v>8.1643835616438363</v>
      </c>
      <c r="I77" s="113">
        <f t="shared" ca="1" si="34"/>
        <v>14.520547945205479</v>
      </c>
      <c r="J77" s="246">
        <f t="shared" ca="1" si="34"/>
        <v>19.890410958904109</v>
      </c>
      <c r="K77" s="335">
        <f>K76/365</f>
        <v>15.315068493150685</v>
      </c>
      <c r="L77" s="246">
        <f>L76/365</f>
        <v>14.547945205479452</v>
      </c>
      <c r="P77" s="685">
        <f ca="1">OFFSET('PV-LCOE'!F23,0,$B$12-1)</f>
        <v>-7.5127813981430425E-3</v>
      </c>
      <c r="Q77" s="79" t="s">
        <v>524</v>
      </c>
      <c r="S77" s="656"/>
    </row>
    <row r="78" spans="1:19" ht="15" customHeight="1" thickBot="1">
      <c r="B78" s="1519" t="s">
        <v>150</v>
      </c>
      <c r="C78" s="1520"/>
      <c r="D78" s="647" t="s">
        <v>61</v>
      </c>
      <c r="E78" s="648">
        <f t="shared" ref="E78:L78" si="35">MIN(E76/365,E29)</f>
        <v>4.3835616438356162</v>
      </c>
      <c r="F78" s="649">
        <f t="shared" ca="1" si="35"/>
        <v>10</v>
      </c>
      <c r="G78" s="650">
        <f t="shared" ca="1" si="35"/>
        <v>10.405479452054795</v>
      </c>
      <c r="H78" s="649">
        <f t="shared" ca="1" si="35"/>
        <v>8.1643835616438363</v>
      </c>
      <c r="I78" s="651">
        <f t="shared" ca="1" si="35"/>
        <v>14.388558182291158</v>
      </c>
      <c r="J78" s="650">
        <f t="shared" ca="1" si="35"/>
        <v>19.890410958904109</v>
      </c>
      <c r="K78" s="652">
        <f t="shared" si="35"/>
        <v>15</v>
      </c>
      <c r="L78" s="653">
        <f t="shared" si="35"/>
        <v>14.547945205479452</v>
      </c>
      <c r="P78" s="682">
        <f ca="1">(1+P77)^20</f>
        <v>0.86000000000000043</v>
      </c>
      <c r="Q78" s="658" t="s">
        <v>523</v>
      </c>
      <c r="R78" s="658"/>
      <c r="S78" s="681"/>
    </row>
    <row r="79" spans="1:19" ht="15" customHeight="1">
      <c r="B79" s="1508" t="s">
        <v>239</v>
      </c>
      <c r="C79" s="629" t="s">
        <v>521</v>
      </c>
      <c r="D79" s="630" t="str">
        <f t="shared" ref="D79:D89" si="36">$S$52</f>
        <v>k$</v>
      </c>
      <c r="E79" s="631">
        <f t="shared" ref="E79:L79" ca="1" si="37">E92*$S$86*$B$85</f>
        <v>26524.595861462876</v>
      </c>
      <c r="F79" s="631">
        <f t="shared" ca="1" si="37"/>
        <v>25007.245865203782</v>
      </c>
      <c r="G79" s="632">
        <f t="shared" ca="1" si="37"/>
        <v>21020.790157159168</v>
      </c>
      <c r="H79" s="631">
        <f t="shared" ca="1" si="37"/>
        <v>32607.786157253271</v>
      </c>
      <c r="I79" s="633">
        <f t="shared" ca="1" si="37"/>
        <v>27409.712928639412</v>
      </c>
      <c r="J79" s="632">
        <f t="shared" ca="1" si="37"/>
        <v>24149.383831778498</v>
      </c>
      <c r="K79" s="633">
        <f t="shared" ca="1" si="37"/>
        <v>21843.140890440503</v>
      </c>
      <c r="L79" s="634">
        <f t="shared" ca="1" si="37"/>
        <v>21020.790157159168</v>
      </c>
      <c r="P79" s="687" t="s">
        <v>510</v>
      </c>
      <c r="S79" s="656"/>
    </row>
    <row r="80" spans="1:19" ht="15" customHeight="1" thickBot="1">
      <c r="B80" s="1509"/>
      <c r="C80" s="635" t="s">
        <v>522</v>
      </c>
      <c r="D80" s="514" t="str">
        <f t="shared" si="36"/>
        <v>k$</v>
      </c>
      <c r="E80" s="247">
        <f t="shared" ref="E80:L80" ca="1" si="38">E92*$M$80*$B$85*$S$89</f>
        <v>8536.4904119656203</v>
      </c>
      <c r="F80" s="247">
        <f t="shared" ca="1" si="38"/>
        <v>8048.1571019195753</v>
      </c>
      <c r="G80" s="636">
        <f t="shared" ca="1" si="38"/>
        <v>6765.1840791754075</v>
      </c>
      <c r="H80" s="247">
        <f t="shared" ca="1" si="38"/>
        <v>10494.261829309775</v>
      </c>
      <c r="I80" s="637">
        <f t="shared" ca="1" si="38"/>
        <v>8821.3502981212223</v>
      </c>
      <c r="J80" s="636">
        <f t="shared" ca="1" si="38"/>
        <v>7772.0687851975117</v>
      </c>
      <c r="K80" s="637">
        <f t="shared" ca="1" si="38"/>
        <v>7029.8436874346326</v>
      </c>
      <c r="L80" s="638">
        <f t="shared" ca="1" si="38"/>
        <v>6765.1840791754075</v>
      </c>
      <c r="M80" s="673">
        <f ca="1">F$16</f>
        <v>0.02</v>
      </c>
      <c r="N80" s="79" t="s">
        <v>858</v>
      </c>
      <c r="P80" s="683">
        <f ca="1">OFFSET('PV-LCOE'!F20,0,$B$12-1)</f>
        <v>0.02</v>
      </c>
      <c r="Q80" s="79" t="s">
        <v>508</v>
      </c>
      <c r="S80" s="656"/>
    </row>
    <row r="81" spans="1:29" ht="15" customHeight="1">
      <c r="A81" s="101"/>
      <c r="B81" s="639"/>
      <c r="C81" s="629" t="s">
        <v>520</v>
      </c>
      <c r="D81" s="630" t="str">
        <f t="shared" si="36"/>
        <v>k$</v>
      </c>
      <c r="E81" s="631">
        <f t="shared" ref="E81:L81" ca="1" si="39">E93*(1+($B$85/E102-1)*E108)*$S$86*$B$85</f>
        <v>126947.85199867286</v>
      </c>
      <c r="F81" s="631">
        <f t="shared" ca="1" si="39"/>
        <v>33246.445062688763</v>
      </c>
      <c r="G81" s="632">
        <f t="shared" ca="1" si="39"/>
        <v>25818.372513757437</v>
      </c>
      <c r="H81" s="631">
        <f t="shared" ca="1" si="39"/>
        <v>20677.70784426645</v>
      </c>
      <c r="I81" s="633">
        <f t="shared" ca="1" si="39"/>
        <v>6760.5310158273605</v>
      </c>
      <c r="J81" s="632">
        <f t="shared" ca="1" si="39"/>
        <v>6004.6902613610182</v>
      </c>
      <c r="K81" s="633">
        <f t="shared" ca="1" si="39"/>
        <v>77589.718599079744</v>
      </c>
      <c r="L81" s="634">
        <f t="shared" ca="1" si="39"/>
        <v>168567.80158825457</v>
      </c>
      <c r="O81" s="114"/>
      <c r="P81" s="683">
        <f ca="1">OFFSET('PV-LCOE'!F21,0,$B$12-1)</f>
        <v>0.04</v>
      </c>
      <c r="Q81" s="79" t="s">
        <v>509</v>
      </c>
      <c r="R81" s="114"/>
      <c r="S81" s="657"/>
      <c r="T81" s="114"/>
      <c r="U81" s="114"/>
      <c r="V81" s="114"/>
      <c r="W81" s="114"/>
      <c r="X81" s="114"/>
      <c r="Y81" s="114"/>
      <c r="Z81" s="114"/>
      <c r="AA81" s="114"/>
      <c r="AB81" s="114"/>
      <c r="AC81" s="114"/>
    </row>
    <row r="82" spans="1:29" ht="15" customHeight="1" thickBot="1">
      <c r="A82" s="101"/>
      <c r="B82" s="639" t="s">
        <v>210</v>
      </c>
      <c r="C82" s="635" t="s">
        <v>530</v>
      </c>
      <c r="D82" s="514" t="str">
        <f t="shared" si="36"/>
        <v>k$</v>
      </c>
      <c r="E82" s="247">
        <f t="shared" ref="E82:L82" ca="1" si="40">E93*$M$82*$B$85*$S$89</f>
        <v>9841.1252075347002</v>
      </c>
      <c r="F82" s="247">
        <f t="shared" ca="1" si="40"/>
        <v>6623.3425615588021</v>
      </c>
      <c r="G82" s="636">
        <f t="shared" ca="1" si="40"/>
        <v>5387.7597104761471</v>
      </c>
      <c r="H82" s="247">
        <f t="shared" ca="1" si="40"/>
        <v>3775.0204080983849</v>
      </c>
      <c r="I82" s="637">
        <f t="shared" ca="1" si="40"/>
        <v>1902.6593525163657</v>
      </c>
      <c r="J82" s="636">
        <f t="shared" ca="1" si="40"/>
        <v>1929.3820962314835</v>
      </c>
      <c r="K82" s="637">
        <f t="shared" ca="1" si="40"/>
        <v>20514.298902003826</v>
      </c>
      <c r="L82" s="638">
        <f t="shared" ca="1" si="40"/>
        <v>47007.385412776814</v>
      </c>
      <c r="M82" s="673">
        <f ca="1">F$16</f>
        <v>0.02</v>
      </c>
      <c r="N82" s="79" t="s">
        <v>858</v>
      </c>
      <c r="O82" s="114"/>
      <c r="P82" s="684">
        <f ca="1">OFFSET('PV-LCOE'!F22,0,$B$12-1)</f>
        <v>1.9607843137254832E-2</v>
      </c>
      <c r="Q82" s="658" t="s">
        <v>515</v>
      </c>
      <c r="R82" s="659"/>
      <c r="S82" s="660"/>
      <c r="T82" s="114"/>
      <c r="U82" s="114"/>
      <c r="V82" s="114"/>
      <c r="W82" s="114"/>
      <c r="X82" s="114"/>
      <c r="Y82" s="114"/>
      <c r="Z82" s="114"/>
      <c r="AA82" s="114"/>
      <c r="AB82" s="114"/>
      <c r="AC82" s="114"/>
    </row>
    <row r="83" spans="1:29" ht="15" customHeight="1">
      <c r="A83" s="101"/>
      <c r="B83" s="639"/>
      <c r="C83" s="629" t="s">
        <v>526</v>
      </c>
      <c r="D83" s="630" t="str">
        <f t="shared" si="36"/>
        <v>k$</v>
      </c>
      <c r="E83" s="631">
        <f t="shared" ref="E83:L83" ca="1" si="41">E94*(1+($B$85/E103-1)*E109)*$S$86*$B$85</f>
        <v>693.52979317339668</v>
      </c>
      <c r="F83" s="631">
        <f t="shared" ca="1" si="41"/>
        <v>652.54218239684872</v>
      </c>
      <c r="G83" s="632">
        <f t="shared" ca="1" si="41"/>
        <v>613.97693941719501</v>
      </c>
      <c r="H83" s="631">
        <f t="shared" ca="1" si="41"/>
        <v>577.69090229763879</v>
      </c>
      <c r="I83" s="633">
        <f t="shared" ca="1" si="41"/>
        <v>543.54936997184825</v>
      </c>
      <c r="J83" s="632">
        <f t="shared" ca="1" si="41"/>
        <v>511.425602206512</v>
      </c>
      <c r="K83" s="631">
        <f t="shared" ca="1" si="41"/>
        <v>481.20034911610719</v>
      </c>
      <c r="L83" s="634">
        <f t="shared" ca="1" si="41"/>
        <v>452.76140848334524</v>
      </c>
      <c r="O83" s="114"/>
      <c r="S83" s="114"/>
      <c r="T83" s="114"/>
      <c r="U83" s="114"/>
      <c r="V83" s="114"/>
      <c r="W83" s="114"/>
      <c r="X83" s="114"/>
      <c r="Y83" s="114"/>
      <c r="Z83" s="114"/>
      <c r="AA83" s="114"/>
      <c r="AB83" s="114"/>
      <c r="AC83" s="114"/>
    </row>
    <row r="84" spans="1:29" ht="15" customHeight="1" thickBot="1">
      <c r="A84" s="101"/>
      <c r="B84" s="639"/>
      <c r="C84" s="635" t="s">
        <v>527</v>
      </c>
      <c r="D84" s="514" t="str">
        <f t="shared" si="36"/>
        <v>k$</v>
      </c>
      <c r="E84" s="247">
        <f t="shared" ref="E84:L84" ca="1" si="42">E94*$M84*$B$85*$S$89</f>
        <v>111.60038895142446</v>
      </c>
      <c r="F84" s="247">
        <f t="shared" ca="1" si="42"/>
        <v>105.00480596439526</v>
      </c>
      <c r="G84" s="636">
        <f t="shared" ca="1" si="42"/>
        <v>98.799021931899489</v>
      </c>
      <c r="H84" s="247">
        <f t="shared" ca="1" si="42"/>
        <v>92.959999735724239</v>
      </c>
      <c r="I84" s="637">
        <f t="shared" ca="1" si="42"/>
        <v>87.466063751342929</v>
      </c>
      <c r="J84" s="636">
        <f t="shared" ca="1" si="42"/>
        <v>82.29681938363855</v>
      </c>
      <c r="K84" s="637">
        <f t="shared" ca="1" si="42"/>
        <v>77.433077358065518</v>
      </c>
      <c r="L84" s="638">
        <f t="shared" ca="1" si="42"/>
        <v>72.856782486203841</v>
      </c>
      <c r="M84" s="673">
        <f ca="1">F$16</f>
        <v>0.02</v>
      </c>
      <c r="N84" s="79" t="s">
        <v>858</v>
      </c>
      <c r="O84" s="114"/>
      <c r="S84" s="114"/>
      <c r="T84" s="114"/>
      <c r="U84" s="114"/>
      <c r="V84" s="114"/>
      <c r="W84" s="114"/>
      <c r="X84" s="114"/>
      <c r="Y84" s="114"/>
      <c r="Z84" s="114"/>
      <c r="AA84" s="114"/>
      <c r="AB84" s="114"/>
      <c r="AC84" s="114"/>
    </row>
    <row r="85" spans="1:29" ht="15" customHeight="1">
      <c r="A85" s="101"/>
      <c r="B85" s="640">
        <v>20</v>
      </c>
      <c r="C85" s="629" t="s">
        <v>576</v>
      </c>
      <c r="D85" s="630" t="str">
        <f t="shared" si="36"/>
        <v>k$</v>
      </c>
      <c r="E85" s="631">
        <f t="shared" ref="E85:L85" ca="1" si="43">E95*(1+($B$85/E104-1)*E110)*$S$86*$B$85</f>
        <v>1576.2040753940828</v>
      </c>
      <c r="F85" s="631">
        <f t="shared" ca="1" si="43"/>
        <v>1483.0504145382924</v>
      </c>
      <c r="G85" s="632">
        <f t="shared" ca="1" si="43"/>
        <v>1395.4021350390792</v>
      </c>
      <c r="H85" s="631">
        <f t="shared" ca="1" si="43"/>
        <v>1312.9338688582698</v>
      </c>
      <c r="I85" s="633">
        <f t="shared" ca="1" si="43"/>
        <v>1235.3394772087458</v>
      </c>
      <c r="J85" s="632">
        <f t="shared" ca="1" si="43"/>
        <v>1162.3309141057089</v>
      </c>
      <c r="K85" s="631">
        <f t="shared" ca="1" si="43"/>
        <v>1093.6371570820615</v>
      </c>
      <c r="L85" s="634">
        <f t="shared" ca="1" si="43"/>
        <v>1029.0032010985117</v>
      </c>
      <c r="O85" s="114"/>
      <c r="S85" s="114"/>
      <c r="T85" s="114"/>
      <c r="U85" s="114"/>
      <c r="V85" s="114"/>
      <c r="W85" s="114"/>
      <c r="X85" s="114"/>
      <c r="Y85" s="114"/>
      <c r="Z85" s="114"/>
      <c r="AA85" s="114"/>
      <c r="AB85" s="114"/>
      <c r="AC85" s="114"/>
    </row>
    <row r="86" spans="1:29" ht="15" customHeight="1" thickBot="1">
      <c r="A86" s="101"/>
      <c r="B86" s="680">
        <v>360</v>
      </c>
      <c r="C86" s="635" t="s">
        <v>577</v>
      </c>
      <c r="D86" s="514" t="str">
        <f t="shared" si="36"/>
        <v>k$</v>
      </c>
      <c r="E86" s="247">
        <f t="shared" ref="E86:L86" ca="1" si="44">E95*$M86*$B$85*$S$89</f>
        <v>507.27449523374742</v>
      </c>
      <c r="F86" s="247">
        <f t="shared" ca="1" si="44"/>
        <v>477.29457256543287</v>
      </c>
      <c r="G86" s="636">
        <f t="shared" ca="1" si="44"/>
        <v>449.08646332681576</v>
      </c>
      <c r="H86" s="247">
        <f t="shared" ca="1" si="44"/>
        <v>422.54545334420095</v>
      </c>
      <c r="I86" s="637">
        <f t="shared" ca="1" si="44"/>
        <v>397.57301705155868</v>
      </c>
      <c r="J86" s="636">
        <f t="shared" ca="1" si="44"/>
        <v>374.07645174381156</v>
      </c>
      <c r="K86" s="637">
        <f t="shared" ca="1" si="44"/>
        <v>351.96853344575226</v>
      </c>
      <c r="L86" s="638">
        <f t="shared" ca="1" si="44"/>
        <v>331.16719311910828</v>
      </c>
      <c r="M86" s="673">
        <f ca="1">F$16</f>
        <v>0.02</v>
      </c>
      <c r="N86" s="79" t="s">
        <v>858</v>
      </c>
      <c r="O86" s="114"/>
      <c r="P86" s="669">
        <f ca="1">Params!W25</f>
        <v>16.091650286683802</v>
      </c>
      <c r="Q86" s="114" t="s">
        <v>513</v>
      </c>
      <c r="R86" s="114"/>
      <c r="S86" s="690">
        <f ca="1">1/Params!W22</f>
        <v>6.1156718125290409E-2</v>
      </c>
      <c r="T86" s="114" t="s">
        <v>518</v>
      </c>
      <c r="U86" s="114"/>
      <c r="V86" s="114"/>
      <c r="W86" s="114"/>
      <c r="X86" s="114"/>
      <c r="Y86" s="114"/>
      <c r="Z86" s="114"/>
      <c r="AA86" s="114"/>
      <c r="AB86" s="114"/>
      <c r="AC86" s="114"/>
    </row>
    <row r="87" spans="1:29" ht="15" customHeight="1">
      <c r="A87" s="101"/>
      <c r="B87" s="796"/>
      <c r="C87" s="798" t="s">
        <v>605</v>
      </c>
      <c r="D87" s="799" t="str">
        <f t="shared" si="36"/>
        <v>k$</v>
      </c>
      <c r="E87" s="800">
        <f t="shared" ref="E87:L88" ca="1" si="45">E79+E81+E83+E85</f>
        <v>155742.18172870323</v>
      </c>
      <c r="F87" s="1222">
        <f t="shared" ca="1" si="45"/>
        <v>60389.28352482769</v>
      </c>
      <c r="G87" s="1223">
        <f t="shared" ca="1" si="45"/>
        <v>48848.541745372873</v>
      </c>
      <c r="H87" s="1222">
        <f t="shared" ca="1" si="45"/>
        <v>55176.118772675632</v>
      </c>
      <c r="I87" s="1224">
        <f t="shared" ca="1" si="45"/>
        <v>35949.132791647367</v>
      </c>
      <c r="J87" s="1223">
        <f t="shared" ca="1" si="45"/>
        <v>31827.830609451739</v>
      </c>
      <c r="K87" s="1222">
        <f t="shared" ca="1" si="45"/>
        <v>101007.69699571842</v>
      </c>
      <c r="L87" s="1225">
        <f t="shared" ca="1" si="45"/>
        <v>191070.3563549956</v>
      </c>
      <c r="N87" s="79" t="s">
        <v>857</v>
      </c>
      <c r="O87" s="114"/>
      <c r="P87" s="669"/>
      <c r="Q87" s="114"/>
      <c r="R87" s="114"/>
      <c r="S87" s="823">
        <f ca="1">B85*S86</f>
        <v>1.2231343625058082</v>
      </c>
      <c r="T87" s="824" t="s">
        <v>622</v>
      </c>
      <c r="U87" s="114"/>
      <c r="V87" s="114"/>
      <c r="W87" s="114"/>
      <c r="X87" s="114"/>
      <c r="Y87" s="114"/>
      <c r="Z87" s="114"/>
      <c r="AA87" s="114"/>
      <c r="AB87" s="114"/>
      <c r="AC87" s="114"/>
    </row>
    <row r="88" spans="1:29" ht="15" customHeight="1" thickBot="1">
      <c r="A88" s="101"/>
      <c r="B88" s="796"/>
      <c r="C88" s="798" t="s">
        <v>606</v>
      </c>
      <c r="D88" s="799" t="str">
        <f t="shared" si="36"/>
        <v>k$</v>
      </c>
      <c r="E88" s="800">
        <f t="shared" ca="1" si="45"/>
        <v>18996.490503685494</v>
      </c>
      <c r="F88" s="995">
        <f t="shared" ca="1" si="45"/>
        <v>15253.799042008208</v>
      </c>
      <c r="G88" s="996">
        <f t="shared" ca="1" si="45"/>
        <v>12700.829274910271</v>
      </c>
      <c r="H88" s="995">
        <f t="shared" ca="1" si="45"/>
        <v>14784.787690488083</v>
      </c>
      <c r="I88" s="997">
        <f t="shared" ca="1" si="45"/>
        <v>11209.048731440489</v>
      </c>
      <c r="J88" s="996">
        <f t="shared" ca="1" si="45"/>
        <v>10157.824152556444</v>
      </c>
      <c r="K88" s="995">
        <f t="shared" ca="1" si="45"/>
        <v>27973.544200242279</v>
      </c>
      <c r="L88" s="998">
        <f t="shared" ca="1" si="45"/>
        <v>54176.593467557534</v>
      </c>
      <c r="M88" s="797"/>
      <c r="O88" s="114"/>
      <c r="P88" s="669"/>
      <c r="Q88" s="114"/>
      <c r="R88" s="114"/>
      <c r="S88" s="690"/>
      <c r="T88" s="114"/>
      <c r="U88" s="114"/>
      <c r="V88" s="114"/>
      <c r="W88" s="114"/>
      <c r="X88" s="114"/>
      <c r="Y88" s="114"/>
      <c r="Z88" s="114"/>
      <c r="AA88" s="114"/>
      <c r="AB88" s="114"/>
      <c r="AC88" s="114"/>
    </row>
    <row r="89" spans="1:29" ht="15" customHeight="1" thickBot="1">
      <c r="A89" s="101"/>
      <c r="C89" s="641" t="s">
        <v>607</v>
      </c>
      <c r="D89" s="642" t="str">
        <f t="shared" si="36"/>
        <v>k$</v>
      </c>
      <c r="E89" s="643">
        <f t="shared" ref="E89:L89" ca="1" si="46">E87+E88</f>
        <v>174738.67223238872</v>
      </c>
      <c r="F89" s="643">
        <f t="shared" ca="1" si="46"/>
        <v>75643.082566835903</v>
      </c>
      <c r="G89" s="644">
        <f t="shared" ca="1" si="46"/>
        <v>61549.371020283143</v>
      </c>
      <c r="H89" s="643">
        <f t="shared" ca="1" si="46"/>
        <v>69960.906463163716</v>
      </c>
      <c r="I89" s="645">
        <f t="shared" ca="1" si="46"/>
        <v>47158.181523087856</v>
      </c>
      <c r="J89" s="644">
        <f t="shared" ca="1" si="46"/>
        <v>41985.654762008184</v>
      </c>
      <c r="K89" s="645">
        <f t="shared" ca="1" si="46"/>
        <v>128981.2411959607</v>
      </c>
      <c r="L89" s="646">
        <f t="shared" ca="1" si="46"/>
        <v>245246.94982255314</v>
      </c>
      <c r="O89" s="461"/>
      <c r="P89" s="669">
        <f ca="1">OFFSET('PV-LCOE'!F64,0,opt_GeoCase-1)</f>
        <v>15.252054189208495</v>
      </c>
      <c r="Q89" s="114" t="s">
        <v>511</v>
      </c>
      <c r="R89" s="114"/>
      <c r="S89" s="679">
        <f ca="1">Params!W25/Params!W22</f>
        <v>0.98411252075346989</v>
      </c>
      <c r="T89" s="114" t="s">
        <v>519</v>
      </c>
    </row>
    <row r="90" spans="1:29" outlineLevel="1">
      <c r="O90" s="83"/>
      <c r="P90" s="114"/>
      <c r="Q90" s="114"/>
      <c r="R90" s="114"/>
      <c r="S90" s="83"/>
      <c r="T90" s="83"/>
      <c r="U90" s="83"/>
      <c r="V90" s="83"/>
      <c r="W90" s="83"/>
      <c r="X90" s="83"/>
      <c r="Y90" s="83"/>
      <c r="Z90" s="83"/>
      <c r="AA90" s="83"/>
      <c r="AB90" s="83"/>
      <c r="AC90" s="83"/>
    </row>
    <row r="91" spans="1:29" outlineLevel="1">
      <c r="B91" s="116" t="s">
        <v>176</v>
      </c>
      <c r="C91" s="79" t="s">
        <v>575</v>
      </c>
      <c r="O91" s="83"/>
      <c r="S91" s="83"/>
      <c r="T91" s="83"/>
      <c r="U91" s="83"/>
      <c r="V91" s="83"/>
      <c r="W91" s="83"/>
      <c r="X91" s="83"/>
      <c r="Y91" s="83"/>
      <c r="Z91" s="83"/>
      <c r="AA91" s="83"/>
      <c r="AB91" s="83"/>
      <c r="AC91" s="83"/>
    </row>
    <row r="92" spans="1:29" outlineLevel="1">
      <c r="B92" s="116"/>
      <c r="C92" s="688" t="s">
        <v>173</v>
      </c>
      <c r="D92" s="356" t="str">
        <f>$S$52</f>
        <v>k$</v>
      </c>
      <c r="E92" s="355">
        <f ca="1">$H$15*E63*1000</f>
        <v>21685.758061054326</v>
      </c>
      <c r="F92" s="355">
        <f ca="1">$H$15*F63*1000</f>
        <v>20445.215694841565</v>
      </c>
      <c r="G92" s="355">
        <f ca="1">$J$15*G63*1000</f>
        <v>17186.002455277558</v>
      </c>
      <c r="H92" s="355">
        <f ca="1">$H$15*H63*1000</f>
        <v>26659.202093260159</v>
      </c>
      <c r="I92" s="355">
        <f ca="1">$J$15*I63*1000</f>
        <v>22409.404697359449</v>
      </c>
      <c r="J92" s="355">
        <f ca="1">$L$15*J63*1000</f>
        <v>19743.852001920859</v>
      </c>
      <c r="K92" s="355">
        <f ca="1">$J$15*K63*1000</f>
        <v>17858.333115334073</v>
      </c>
      <c r="L92" s="355">
        <f ca="1">$J$15*L63*1000</f>
        <v>17186.002455277558</v>
      </c>
      <c r="O92" s="83"/>
      <c r="S92" s="83"/>
      <c r="T92" s="83"/>
      <c r="U92" s="83"/>
      <c r="V92" s="83"/>
      <c r="W92" s="83"/>
      <c r="X92" s="83"/>
      <c r="Y92" s="83"/>
      <c r="Z92" s="83"/>
      <c r="AA92" s="83"/>
      <c r="AB92" s="83"/>
      <c r="AC92" s="83"/>
    </row>
    <row r="93" spans="1:29" outlineLevel="1">
      <c r="B93" s="116"/>
      <c r="C93" s="688" t="s">
        <v>835</v>
      </c>
      <c r="D93" s="356" t="str">
        <f>$S$52</f>
        <v>k$</v>
      </c>
      <c r="E93" s="355">
        <f t="shared" ref="E93:L93" si="47">E28*E67</f>
        <v>25000.000000000004</v>
      </c>
      <c r="F93" s="355">
        <f t="shared" ca="1" si="47"/>
        <v>16825.673949579836</v>
      </c>
      <c r="G93" s="355">
        <f t="shared" ca="1" si="47"/>
        <v>13686.848802490329</v>
      </c>
      <c r="H93" s="355">
        <f t="shared" ca="1" si="47"/>
        <v>9589.910524682944</v>
      </c>
      <c r="I93" s="355">
        <f t="shared" ca="1" si="47"/>
        <v>4833.4395518604551</v>
      </c>
      <c r="J93" s="355">
        <f t="shared" ca="1" si="47"/>
        <v>4901.3249388247878</v>
      </c>
      <c r="K93" s="355">
        <f t="shared" si="47"/>
        <v>52113.702623906713</v>
      </c>
      <c r="L93" s="355">
        <f t="shared" si="47"/>
        <v>119415.67763203125</v>
      </c>
      <c r="O93" s="83"/>
      <c r="P93" s="83"/>
      <c r="Q93" s="83"/>
      <c r="R93" s="83"/>
      <c r="S93" s="83"/>
      <c r="T93" s="83"/>
      <c r="V93" s="83"/>
      <c r="W93" s="83"/>
      <c r="X93" s="83"/>
      <c r="Y93" s="83"/>
      <c r="Z93" s="83"/>
      <c r="AA93" s="83"/>
      <c r="AB93" s="83"/>
      <c r="AC93" s="83"/>
    </row>
    <row r="94" spans="1:29" outlineLevel="1">
      <c r="B94" s="116"/>
      <c r="C94" s="688" t="s">
        <v>415</v>
      </c>
      <c r="D94" s="356" t="str">
        <f>$S$52</f>
        <v>k$</v>
      </c>
      <c r="E94" s="355">
        <f>$E$4*1000*$N94/1000*(1-$Q94)^(E$13-$T94)</f>
        <v>283.50515463917537</v>
      </c>
      <c r="F94" s="355">
        <f t="shared" ref="F94:L95" si="48">$E$4*1000*$N94/1000*(1-$Q94)^(F$13-$T94)</f>
        <v>266.75000000000006</v>
      </c>
      <c r="G94" s="355">
        <f t="shared" si="48"/>
        <v>250.98507500000005</v>
      </c>
      <c r="H94" s="355">
        <f t="shared" si="48"/>
        <v>236.15185706750003</v>
      </c>
      <c r="I94" s="355">
        <f t="shared" si="48"/>
        <v>222.19528231481078</v>
      </c>
      <c r="J94" s="355">
        <f t="shared" si="48"/>
        <v>209.06354113000543</v>
      </c>
      <c r="K94" s="355">
        <f t="shared" si="48"/>
        <v>196.70788584922212</v>
      </c>
      <c r="L94" s="355">
        <f t="shared" si="48"/>
        <v>185.08244979553308</v>
      </c>
      <c r="N94" s="698">
        <f>25*EUR2USD_2020</f>
        <v>27.500000000000004</v>
      </c>
      <c r="O94" s="699"/>
      <c r="P94" s="698" t="s">
        <v>499</v>
      </c>
      <c r="Q94" s="716">
        <v>0.03</v>
      </c>
      <c r="R94" s="698" t="s">
        <v>849</v>
      </c>
      <c r="S94" s="698"/>
      <c r="T94" s="1244">
        <v>2019</v>
      </c>
      <c r="U94" s="719" t="s">
        <v>580</v>
      </c>
      <c r="Z94" s="83"/>
      <c r="AA94" s="83"/>
      <c r="AB94" s="83"/>
      <c r="AC94" s="83"/>
    </row>
    <row r="95" spans="1:29" outlineLevel="1">
      <c r="B95" s="116"/>
      <c r="C95" s="688" t="s">
        <v>684</v>
      </c>
      <c r="D95" s="356" t="str">
        <f>$S$52</f>
        <v>k$</v>
      </c>
      <c r="E95" s="355">
        <f ca="1">$E$4*1000*$N95/1000*(1-$Q95)^(E$13-$T95)</f>
        <v>1288.6597938144332</v>
      </c>
      <c r="F95" s="355">
        <f t="shared" ca="1" si="48"/>
        <v>1212.5</v>
      </c>
      <c r="G95" s="355">
        <f t="shared" ca="1" si="48"/>
        <v>1140.8412499999999</v>
      </c>
      <c r="H95" s="355">
        <f t="shared" ca="1" si="48"/>
        <v>1073.417532125</v>
      </c>
      <c r="I95" s="355">
        <f t="shared" ca="1" si="48"/>
        <v>1009.9785559764124</v>
      </c>
      <c r="J95" s="355">
        <f t="shared" ca="1" si="48"/>
        <v>950.28882331820637</v>
      </c>
      <c r="K95" s="355">
        <f t="shared" ca="1" si="48"/>
        <v>894.12675386010039</v>
      </c>
      <c r="L95" s="355">
        <f t="shared" ca="1" si="48"/>
        <v>841.28386270696842</v>
      </c>
      <c r="N95" s="965">
        <f ca="1">'DropDown menus'!AO9</f>
        <v>125</v>
      </c>
      <c r="O95" s="699"/>
      <c r="P95" s="698" t="s">
        <v>499</v>
      </c>
      <c r="Q95" s="716">
        <v>0.03</v>
      </c>
      <c r="R95" s="698" t="s">
        <v>849</v>
      </c>
      <c r="S95" s="698"/>
      <c r="T95" s="1244">
        <v>2019</v>
      </c>
      <c r="U95" s="719" t="s">
        <v>581</v>
      </c>
      <c r="Z95" s="83"/>
      <c r="AA95" s="83"/>
      <c r="AB95" s="83"/>
      <c r="AC95" s="83"/>
    </row>
    <row r="96" spans="1:29" s="114" customFormat="1" outlineLevel="1">
      <c r="A96" s="115"/>
      <c r="C96" s="117" t="s">
        <v>174</v>
      </c>
      <c r="D96" s="117" t="str">
        <f>$S$52</f>
        <v>k$</v>
      </c>
      <c r="E96" s="118">
        <f t="shared" ref="E96:L96" ca="1" si="49">SUM(E92:E95)</f>
        <v>48257.92300950794</v>
      </c>
      <c r="F96" s="118">
        <f t="shared" ca="1" si="49"/>
        <v>38750.139644421404</v>
      </c>
      <c r="G96" s="118">
        <f t="shared" ca="1" si="49"/>
        <v>32264.677582767887</v>
      </c>
      <c r="H96" s="118">
        <f t="shared" ca="1" si="49"/>
        <v>37558.682007135605</v>
      </c>
      <c r="I96" s="118">
        <f t="shared" ca="1" si="49"/>
        <v>28475.018087511125</v>
      </c>
      <c r="J96" s="118">
        <f t="shared" ca="1" si="49"/>
        <v>25804.529305193857</v>
      </c>
      <c r="K96" s="118">
        <f t="shared" ca="1" si="49"/>
        <v>71062.870378950101</v>
      </c>
      <c r="L96" s="118">
        <f t="shared" ca="1" si="49"/>
        <v>137628.04639981131</v>
      </c>
      <c r="O96" s="79"/>
      <c r="U96" s="79"/>
      <c r="V96" s="79"/>
      <c r="W96" s="79"/>
      <c r="X96" s="79"/>
      <c r="Y96" s="79"/>
      <c r="Z96" s="79"/>
      <c r="AA96" s="79"/>
      <c r="AB96" s="79"/>
      <c r="AC96" s="79"/>
    </row>
    <row r="97" spans="1:30" s="114" customFormat="1" outlineLevel="1">
      <c r="A97" s="115"/>
      <c r="C97" s="979" t="s">
        <v>693</v>
      </c>
      <c r="D97" s="981"/>
      <c r="E97" s="359"/>
      <c r="F97" s="980">
        <f ca="1">(F96-H96)/H96</f>
        <v>3.1722562497252686E-2</v>
      </c>
      <c r="G97" s="980">
        <f ca="1">(G96-I96)/I96</f>
        <v>0.13308716727097955</v>
      </c>
      <c r="H97" s="359"/>
      <c r="I97" s="359"/>
      <c r="J97" s="359"/>
      <c r="K97" s="359"/>
      <c r="L97" s="359"/>
      <c r="O97" s="79"/>
      <c r="U97" s="79"/>
      <c r="V97" s="79"/>
      <c r="W97" s="79"/>
      <c r="X97" s="79"/>
      <c r="Y97" s="79"/>
      <c r="Z97" s="79"/>
      <c r="AA97" s="79"/>
      <c r="AB97" s="79"/>
      <c r="AC97" s="79"/>
    </row>
    <row r="98" spans="1:30" outlineLevel="1">
      <c r="C98" s="702" t="s">
        <v>859</v>
      </c>
    </row>
    <row r="99" spans="1:30" outlineLevel="1">
      <c r="C99" s="702" t="s">
        <v>682</v>
      </c>
      <c r="H99" s="962">
        <f ca="1">(H93+H94)/H67</f>
        <v>63.491480005156703</v>
      </c>
      <c r="I99" s="962">
        <f ca="1">(I93+I94)/I67</f>
        <v>54.445298214195162</v>
      </c>
      <c r="P99" s="717"/>
      <c r="Q99" s="717"/>
      <c r="R99" s="717"/>
      <c r="S99" s="717"/>
      <c r="T99" s="717"/>
    </row>
    <row r="100" spans="1:30" outlineLevel="1">
      <c r="B100" s="116" t="s">
        <v>458</v>
      </c>
      <c r="O100" s="83"/>
      <c r="T100" s="83"/>
      <c r="U100" s="83"/>
      <c r="V100" s="83"/>
      <c r="W100" s="83"/>
      <c r="X100" s="83"/>
      <c r="Y100" s="83"/>
      <c r="Z100" s="83"/>
      <c r="AA100" s="83"/>
      <c r="AB100" s="83"/>
      <c r="AC100" s="83"/>
    </row>
    <row r="101" spans="1:30" outlineLevel="1">
      <c r="B101" s="116"/>
      <c r="C101" s="688" t="str">
        <f>C92</f>
        <v>PV</v>
      </c>
      <c r="D101" s="356" t="s">
        <v>61</v>
      </c>
      <c r="E101" s="504">
        <f t="shared" ref="E101:J104" si="50">$M101</f>
        <v>20</v>
      </c>
      <c r="F101" s="504">
        <f t="shared" si="50"/>
        <v>20</v>
      </c>
      <c r="G101" s="504">
        <f t="shared" si="50"/>
        <v>20</v>
      </c>
      <c r="H101" s="504">
        <f t="shared" si="50"/>
        <v>20</v>
      </c>
      <c r="I101" s="504">
        <f t="shared" si="50"/>
        <v>20</v>
      </c>
      <c r="J101" s="504">
        <f t="shared" si="50"/>
        <v>20</v>
      </c>
      <c r="K101" s="504">
        <f>$M101</f>
        <v>20</v>
      </c>
      <c r="L101" s="504">
        <f>$M101</f>
        <v>20</v>
      </c>
      <c r="M101" s="513">
        <f>J14</f>
        <v>20</v>
      </c>
      <c r="O101" s="83"/>
      <c r="T101" s="83"/>
      <c r="U101" s="83"/>
      <c r="V101" s="83"/>
      <c r="W101" s="83"/>
      <c r="X101" s="83"/>
      <c r="Y101" s="83"/>
      <c r="Z101" s="83"/>
      <c r="AA101" s="83"/>
      <c r="AB101" s="83"/>
      <c r="AC101" s="83"/>
    </row>
    <row r="102" spans="1:30" outlineLevel="1">
      <c r="B102" s="116"/>
      <c r="C102" s="688" t="str">
        <f>C93</f>
        <v>Battery system (incl. BMS)</v>
      </c>
      <c r="D102" s="356" t="s">
        <v>61</v>
      </c>
      <c r="E102" s="506">
        <f t="shared" ref="E102:K102" si="51">E78</f>
        <v>4.3835616438356162</v>
      </c>
      <c r="F102" s="506">
        <f t="shared" ca="1" si="51"/>
        <v>10</v>
      </c>
      <c r="G102" s="506">
        <f t="shared" ca="1" si="51"/>
        <v>10.405479452054795</v>
      </c>
      <c r="H102" s="506">
        <f t="shared" ca="1" si="51"/>
        <v>8.1643835616438363</v>
      </c>
      <c r="I102" s="506">
        <f t="shared" ca="1" si="51"/>
        <v>14.388558182291158</v>
      </c>
      <c r="J102" s="506">
        <f t="shared" ca="1" si="51"/>
        <v>19.890410958904109</v>
      </c>
      <c r="K102" s="506">
        <f t="shared" si="51"/>
        <v>15</v>
      </c>
      <c r="L102" s="689">
        <f ca="1">G102</f>
        <v>10.405479452054795</v>
      </c>
      <c r="O102" s="83"/>
      <c r="P102" s="83"/>
      <c r="Q102" s="83"/>
      <c r="R102" s="83"/>
      <c r="S102" s="83"/>
      <c r="T102" s="83"/>
      <c r="U102" s="83"/>
      <c r="V102" s="83"/>
      <c r="W102" s="83"/>
      <c r="X102" s="83"/>
      <c r="Y102" s="83"/>
      <c r="Z102" s="83"/>
      <c r="AA102" s="83"/>
      <c r="AB102" s="83"/>
      <c r="AC102" s="83"/>
    </row>
    <row r="103" spans="1:30" outlineLevel="1">
      <c r="B103" s="116"/>
      <c r="C103" s="688" t="str">
        <f>C94</f>
        <v>Inverter</v>
      </c>
      <c r="D103" s="356" t="s">
        <v>61</v>
      </c>
      <c r="E103" s="504">
        <f t="shared" si="50"/>
        <v>10</v>
      </c>
      <c r="F103" s="504">
        <f t="shared" si="50"/>
        <v>10</v>
      </c>
      <c r="G103" s="504">
        <f t="shared" si="50"/>
        <v>10</v>
      </c>
      <c r="H103" s="504">
        <f t="shared" si="50"/>
        <v>10</v>
      </c>
      <c r="I103" s="504">
        <f t="shared" si="50"/>
        <v>10</v>
      </c>
      <c r="J103" s="504">
        <f t="shared" si="50"/>
        <v>10</v>
      </c>
      <c r="K103" s="504">
        <f>$M103</f>
        <v>10</v>
      </c>
      <c r="L103" s="504">
        <f>$M103</f>
        <v>10</v>
      </c>
      <c r="M103" s="505">
        <v>10</v>
      </c>
      <c r="O103" s="83"/>
      <c r="P103" s="719" t="s">
        <v>583</v>
      </c>
      <c r="Q103" s="83"/>
      <c r="R103" s="83"/>
      <c r="S103" s="83"/>
      <c r="T103" s="83"/>
      <c r="U103" s="83"/>
      <c r="V103" s="83"/>
      <c r="W103" s="83"/>
      <c r="X103" s="83"/>
      <c r="Y103" s="83"/>
      <c r="Z103" s="83"/>
      <c r="AA103" s="83"/>
      <c r="AB103" s="83"/>
      <c r="AC103" s="83"/>
    </row>
    <row r="104" spans="1:30" outlineLevel="1">
      <c r="B104" s="116"/>
      <c r="C104" s="688" t="str">
        <f>C95</f>
        <v>PV Balance of System (BoS*)</v>
      </c>
      <c r="D104" s="356" t="s">
        <v>61</v>
      </c>
      <c r="E104" s="504">
        <f t="shared" si="50"/>
        <v>20</v>
      </c>
      <c r="F104" s="504">
        <f t="shared" si="50"/>
        <v>20</v>
      </c>
      <c r="G104" s="504">
        <f t="shared" si="50"/>
        <v>20</v>
      </c>
      <c r="H104" s="504">
        <f t="shared" si="50"/>
        <v>20</v>
      </c>
      <c r="I104" s="504">
        <f t="shared" si="50"/>
        <v>20</v>
      </c>
      <c r="J104" s="504">
        <f t="shared" si="50"/>
        <v>20</v>
      </c>
      <c r="K104" s="504">
        <f>$M104</f>
        <v>20</v>
      </c>
      <c r="L104" s="504">
        <f>$M104</f>
        <v>20</v>
      </c>
      <c r="M104" s="505">
        <v>20</v>
      </c>
      <c r="O104" s="83"/>
      <c r="P104" s="83"/>
      <c r="Q104" s="83"/>
      <c r="R104" s="83"/>
      <c r="S104" s="83"/>
      <c r="T104" s="83"/>
      <c r="U104" s="83"/>
      <c r="V104" s="83"/>
      <c r="W104" s="83"/>
      <c r="X104" s="83"/>
      <c r="Y104" s="83"/>
      <c r="Z104" s="83"/>
      <c r="AA104" s="83"/>
      <c r="AB104" s="83"/>
      <c r="AC104" s="83"/>
    </row>
    <row r="105" spans="1:30" outlineLevel="1">
      <c r="O105" s="83"/>
      <c r="P105" s="83"/>
      <c r="Q105" s="83"/>
      <c r="R105" s="83"/>
      <c r="S105" s="83"/>
    </row>
    <row r="106" spans="1:30" outlineLevel="1">
      <c r="B106" s="116" t="s">
        <v>459</v>
      </c>
      <c r="O106" s="83"/>
      <c r="Q106" s="83"/>
      <c r="R106" s="83"/>
      <c r="S106" s="83"/>
      <c r="T106" s="83"/>
      <c r="U106" s="83"/>
      <c r="V106" s="83"/>
      <c r="W106" s="83"/>
      <c r="X106" s="83"/>
      <c r="Y106" s="83"/>
      <c r="Z106" s="83"/>
      <c r="AA106" s="83"/>
      <c r="AB106" s="83"/>
      <c r="AC106" s="83"/>
    </row>
    <row r="107" spans="1:30" outlineLevel="1">
      <c r="B107" s="116"/>
      <c r="C107" s="688" t="str">
        <f>C101</f>
        <v>PV</v>
      </c>
      <c r="D107" s="356" t="s">
        <v>460</v>
      </c>
      <c r="E107" s="507">
        <f t="shared" ref="E107:J110" si="52">$M107</f>
        <v>1</v>
      </c>
      <c r="F107" s="507">
        <f t="shared" si="52"/>
        <v>1</v>
      </c>
      <c r="G107" s="507">
        <f t="shared" si="52"/>
        <v>1</v>
      </c>
      <c r="H107" s="507">
        <f t="shared" si="52"/>
        <v>1</v>
      </c>
      <c r="I107" s="507">
        <f t="shared" si="52"/>
        <v>1</v>
      </c>
      <c r="J107" s="507">
        <f t="shared" si="52"/>
        <v>1</v>
      </c>
      <c r="K107" s="507">
        <f>$M107</f>
        <v>1</v>
      </c>
      <c r="L107" s="507">
        <f>$M107</f>
        <v>1</v>
      </c>
      <c r="M107" s="508">
        <v>1</v>
      </c>
      <c r="O107" s="83"/>
      <c r="Q107" s="83"/>
      <c r="R107" s="83"/>
      <c r="S107" s="83"/>
      <c r="T107" s="83"/>
      <c r="U107" s="83"/>
      <c r="V107" s="83"/>
      <c r="W107" s="83"/>
      <c r="X107" s="83"/>
      <c r="Y107" s="83"/>
      <c r="Z107" s="83"/>
      <c r="AA107" s="83"/>
      <c r="AB107" s="83"/>
      <c r="AC107" s="83"/>
    </row>
    <row r="108" spans="1:30" outlineLevel="1">
      <c r="B108" s="116"/>
      <c r="C108" s="688" t="s">
        <v>836</v>
      </c>
      <c r="D108" s="356" t="s">
        <v>460</v>
      </c>
      <c r="E108" s="509">
        <f t="shared" ref="E108:L108" si="53">(E27/E28*(1+$M$27))*(1+$N$27)^E102</f>
        <v>0.88464805063639473</v>
      </c>
      <c r="F108" s="509">
        <f t="shared" ca="1" si="53"/>
        <v>0.6154688127691319</v>
      </c>
      <c r="G108" s="509">
        <f t="shared" ca="1" si="53"/>
        <v>0.58806898223753612</v>
      </c>
      <c r="H108" s="509">
        <f t="shared" ca="1" si="53"/>
        <v>0.52622050619091221</v>
      </c>
      <c r="I108" s="509">
        <f t="shared" ca="1" si="53"/>
        <v>0.36805075277111543</v>
      </c>
      <c r="J108" s="509">
        <f t="shared" ca="1" si="53"/>
        <v>0.29401307522384873</v>
      </c>
      <c r="K108" s="509">
        <f t="shared" si="53"/>
        <v>0.65173567033277469</v>
      </c>
      <c r="L108" s="509">
        <f t="shared" ca="1" si="53"/>
        <v>0.16711252692172096</v>
      </c>
      <c r="O108" s="83"/>
      <c r="P108" s="720" t="s">
        <v>464</v>
      </c>
      <c r="Q108" s="719" t="s">
        <v>548</v>
      </c>
      <c r="R108" s="83"/>
      <c r="S108" s="83"/>
      <c r="T108" s="83"/>
      <c r="U108" s="83"/>
      <c r="V108" s="83"/>
      <c r="W108" s="83"/>
      <c r="X108" s="83"/>
      <c r="Y108" s="83"/>
      <c r="Z108" s="83"/>
      <c r="AA108" s="83"/>
      <c r="AB108" s="83"/>
      <c r="AC108" s="83"/>
    </row>
    <row r="109" spans="1:30" outlineLevel="1">
      <c r="B109" s="116"/>
      <c r="C109" s="688" t="str">
        <f>C103</f>
        <v>Inverter</v>
      </c>
      <c r="D109" s="356" t="s">
        <v>460</v>
      </c>
      <c r="E109" s="507">
        <f t="shared" si="52"/>
        <v>1</v>
      </c>
      <c r="F109" s="507">
        <f t="shared" si="52"/>
        <v>1</v>
      </c>
      <c r="G109" s="507">
        <f t="shared" si="52"/>
        <v>1</v>
      </c>
      <c r="H109" s="507">
        <f t="shared" si="52"/>
        <v>1</v>
      </c>
      <c r="I109" s="507">
        <f t="shared" si="52"/>
        <v>1</v>
      </c>
      <c r="J109" s="507">
        <f t="shared" si="52"/>
        <v>1</v>
      </c>
      <c r="K109" s="507">
        <f>$M109</f>
        <v>1</v>
      </c>
      <c r="L109" s="507">
        <f>$M109</f>
        <v>1</v>
      </c>
      <c r="M109" s="508">
        <v>1</v>
      </c>
      <c r="O109" s="83"/>
      <c r="P109" s="719"/>
      <c r="Q109" s="719" t="s">
        <v>547</v>
      </c>
      <c r="R109" s="83"/>
      <c r="S109" s="83"/>
      <c r="T109" s="83"/>
      <c r="U109" s="83"/>
      <c r="V109" s="83"/>
      <c r="W109" s="83"/>
      <c r="X109" s="83"/>
      <c r="Y109" s="83"/>
      <c r="Z109" s="83"/>
      <c r="AA109" s="83"/>
      <c r="AB109" s="83"/>
      <c r="AC109" s="83"/>
    </row>
    <row r="110" spans="1:30" outlineLevel="1">
      <c r="B110" s="116"/>
      <c r="C110" s="688" t="str">
        <f>C104</f>
        <v>PV Balance of System (BoS*)</v>
      </c>
      <c r="D110" s="356" t="s">
        <v>460</v>
      </c>
      <c r="E110" s="507">
        <f t="shared" si="52"/>
        <v>1</v>
      </c>
      <c r="F110" s="507">
        <f t="shared" si="52"/>
        <v>1</v>
      </c>
      <c r="G110" s="507">
        <f t="shared" si="52"/>
        <v>1</v>
      </c>
      <c r="H110" s="507">
        <f t="shared" si="52"/>
        <v>1</v>
      </c>
      <c r="I110" s="507">
        <f t="shared" si="52"/>
        <v>1</v>
      </c>
      <c r="J110" s="507">
        <f t="shared" si="52"/>
        <v>1</v>
      </c>
      <c r="K110" s="507">
        <f>$M110</f>
        <v>1</v>
      </c>
      <c r="L110" s="507">
        <f>$M110</f>
        <v>1</v>
      </c>
      <c r="M110" s="508">
        <v>1</v>
      </c>
      <c r="O110" s="83"/>
      <c r="P110" s="719"/>
      <c r="Q110" s="719" t="s">
        <v>582</v>
      </c>
      <c r="R110" s="83"/>
      <c r="S110" s="83"/>
      <c r="T110" s="83"/>
      <c r="U110" s="83"/>
      <c r="V110" s="83"/>
      <c r="W110" s="83"/>
      <c r="X110" s="83"/>
      <c r="Y110" s="83"/>
      <c r="Z110" s="83"/>
      <c r="AA110" s="83"/>
      <c r="AB110" s="83"/>
      <c r="AC110" s="83"/>
    </row>
    <row r="111" spans="1:30" ht="16" thickBot="1">
      <c r="O111" s="83"/>
      <c r="P111" s="83"/>
      <c r="R111" s="83"/>
      <c r="S111" s="83"/>
    </row>
    <row r="112" spans="1:30" s="114" customFormat="1" ht="16" thickBot="1">
      <c r="B112" s="661" t="s">
        <v>512</v>
      </c>
      <c r="C112" s="662"/>
      <c r="D112" s="663">
        <f>$B$85*$B$86*$E$5/$Q$54</f>
        <v>1080</v>
      </c>
      <c r="E112" s="992" t="s">
        <v>709</v>
      </c>
      <c r="F112" s="991">
        <f>$B$85*$B$86*F52*$E$4/$Q$54</f>
        <v>576</v>
      </c>
      <c r="G112" s="991">
        <f>$B$85*$B$86*G52*$E$4/$Q$54</f>
        <v>576</v>
      </c>
      <c r="H112" s="991">
        <f>$B$85*$B$86*H52*$E$4/$Q$54</f>
        <v>612</v>
      </c>
      <c r="I112" s="991">
        <f>$B$85*$B$86*I52*$E$4/$Q$54</f>
        <v>612</v>
      </c>
      <c r="J112" s="359"/>
      <c r="K112" s="359"/>
      <c r="L112" s="359"/>
      <c r="M112" s="359"/>
      <c r="O112" s="83"/>
      <c r="P112" s="83"/>
      <c r="Q112" s="83"/>
      <c r="R112" s="83"/>
      <c r="S112" s="83"/>
      <c r="T112" s="79"/>
      <c r="U112" s="79"/>
      <c r="V112" s="79"/>
      <c r="W112" s="79"/>
      <c r="X112" s="79"/>
      <c r="Y112" s="79"/>
      <c r="Z112" s="79"/>
      <c r="AA112" s="79"/>
      <c r="AB112" s="79"/>
      <c r="AC112" s="79"/>
      <c r="AD112" s="79"/>
    </row>
    <row r="114" spans="1:29">
      <c r="E114" s="692" t="str">
        <f>E49</f>
        <v>Lead-acid</v>
      </c>
      <c r="F114" s="1510" t="s">
        <v>130</v>
      </c>
      <c r="G114" s="1511"/>
      <c r="H114" s="1512" t="s">
        <v>159</v>
      </c>
      <c r="I114" s="1512"/>
      <c r="J114" s="1512"/>
      <c r="K114" s="801" t="str">
        <f>K19</f>
        <v>RedFlow</v>
      </c>
      <c r="L114" s="805" t="str">
        <f>L19</f>
        <v>Ecomo</v>
      </c>
    </row>
    <row r="115" spans="1:29" s="83" customFormat="1" ht="16" thickBot="1">
      <c r="E115" s="692" t="str">
        <f>E50</f>
        <v>stable</v>
      </c>
      <c r="F115" s="802">
        <f ca="1">F20</f>
        <v>45261</v>
      </c>
      <c r="G115" s="802">
        <f ca="1">G20</f>
        <v>47088</v>
      </c>
      <c r="H115" s="803">
        <f ca="1">H20</f>
        <v>45261</v>
      </c>
      <c r="I115" s="803">
        <f ca="1">I20</f>
        <v>47088</v>
      </c>
      <c r="J115" s="804" t="str">
        <f>J20</f>
        <v>LT Goal</v>
      </c>
      <c r="K115" s="801" t="str">
        <f>K20</f>
        <v>BMZ2 / 28</v>
      </c>
      <c r="L115" s="806">
        <f>L20</f>
        <v>47088</v>
      </c>
      <c r="O115" s="79"/>
      <c r="P115" s="79"/>
      <c r="Q115" s="79"/>
      <c r="R115" s="79"/>
      <c r="S115" s="79"/>
      <c r="T115" s="79"/>
      <c r="U115" s="79"/>
      <c r="V115" s="79"/>
      <c r="W115" s="79"/>
      <c r="X115" s="79"/>
      <c r="Y115" s="79"/>
      <c r="Z115" s="79"/>
      <c r="AA115" s="79"/>
      <c r="AB115" s="79"/>
      <c r="AC115" s="79"/>
    </row>
    <row r="116" spans="1:29" ht="16" thickBot="1">
      <c r="A116" s="83"/>
      <c r="B116" s="922" t="s">
        <v>681</v>
      </c>
      <c r="C116" s="923"/>
      <c r="D116" s="924" t="s">
        <v>1</v>
      </c>
      <c r="E116" s="925">
        <f t="shared" ref="E116:L116" ca="1" si="54">E89/$D112/pres_unit_factor</f>
        <v>0.16179506688184142</v>
      </c>
      <c r="F116" s="926">
        <f t="shared" ca="1" si="54"/>
        <v>7.0039891265588794E-2</v>
      </c>
      <c r="G116" s="927">
        <f t="shared" ca="1" si="54"/>
        <v>5.6990158352114025E-2</v>
      </c>
      <c r="H116" s="348">
        <f t="shared" ca="1" si="54"/>
        <v>6.4778617095521962E-2</v>
      </c>
      <c r="I116" s="203">
        <f t="shared" ca="1" si="54"/>
        <v>4.3664982891748021E-2</v>
      </c>
      <c r="J116" s="350">
        <f t="shared" ca="1" si="54"/>
        <v>3.8875606261118689E-2</v>
      </c>
      <c r="K116" s="515">
        <f t="shared" ca="1" si="54"/>
        <v>0.11942707518144509</v>
      </c>
      <c r="L116" s="516">
        <f t="shared" ca="1" si="54"/>
        <v>0.22708050909495661</v>
      </c>
    </row>
    <row r="117" spans="1:29" ht="16" thickBot="1">
      <c r="A117" s="83"/>
      <c r="B117" s="204" t="s">
        <v>676</v>
      </c>
      <c r="C117" s="205"/>
      <c r="D117" s="928"/>
      <c r="E117" s="931">
        <f ca="1">$I116/E116-1</f>
        <v>-0.73012166728398176</v>
      </c>
      <c r="F117" s="929">
        <f ca="1">$H116/F116-1</f>
        <v>-7.5118251542057202E-2</v>
      </c>
      <c r="G117" s="930">
        <f ca="1">$I116/G116-1</f>
        <v>-0.23381537875428127</v>
      </c>
    </row>
    <row r="118" spans="1:29">
      <c r="B118" s="79" t="s">
        <v>224</v>
      </c>
      <c r="D118" s="351" t="s">
        <v>1</v>
      </c>
      <c r="E118" s="354">
        <f ca="1">SUM(E79:E80,E83:E86)/E119/1000</f>
        <v>2.8111834044628504E-2</v>
      </c>
      <c r="F118" s="354">
        <f ca="1">SUM(F79:F80,F83:F86)/F119/1000</f>
        <v>2.8107534018513024E-2</v>
      </c>
      <c r="G118" s="354">
        <f t="shared" ref="G118:L118" ca="1" si="55">SUM(G79:G80,G83:G86)/G119/1000</f>
        <v>2.3841069659939991E-2</v>
      </c>
      <c r="H118" s="354">
        <f t="shared" ca="1" si="55"/>
        <v>2.7421916347519722E-2</v>
      </c>
      <c r="I118" s="354">
        <f t="shared" ca="1" si="55"/>
        <v>2.3195971993302401E-2</v>
      </c>
      <c r="J118" s="354">
        <f t="shared" ca="1" si="55"/>
        <v>2.0518501968355755E-2</v>
      </c>
      <c r="K118" s="354">
        <f t="shared" ca="1" si="55"/>
        <v>2.3347264082869915E-2</v>
      </c>
      <c r="L118" s="354">
        <f t="shared" ca="1" si="55"/>
        <v>2.3313482424071875E-2</v>
      </c>
    </row>
    <row r="119" spans="1:29" s="357" customFormat="1" ht="14">
      <c r="C119" s="357" t="s">
        <v>225</v>
      </c>
      <c r="D119" s="357" t="s">
        <v>202</v>
      </c>
      <c r="E119" s="358">
        <f t="shared" ref="E119:L119" ca="1" si="56">E60*$B$85*$G$17*(1+$D$62/2)/1000</f>
        <v>1349.9544343472821</v>
      </c>
      <c r="F119" s="358">
        <f t="shared" ca="1" si="56"/>
        <v>1272.729757047568</v>
      </c>
      <c r="G119" s="358">
        <f t="shared" ca="1" si="56"/>
        <v>1272.729757047568</v>
      </c>
      <c r="H119" s="358">
        <f t="shared" ca="1" si="56"/>
        <v>1659.5549936799016</v>
      </c>
      <c r="I119" s="358">
        <f t="shared" ca="1" si="56"/>
        <v>1659.5549936799016</v>
      </c>
      <c r="J119" s="358">
        <f t="shared" ca="1" si="56"/>
        <v>1659.5549936799016</v>
      </c>
      <c r="K119" s="358">
        <f t="shared" ca="1" si="56"/>
        <v>1322.5200000000002</v>
      </c>
      <c r="L119" s="358">
        <f t="shared" ca="1" si="56"/>
        <v>1272.729757047568</v>
      </c>
    </row>
    <row r="120" spans="1:29" s="357" customFormat="1" ht="14">
      <c r="C120" s="357" t="s">
        <v>531</v>
      </c>
      <c r="D120" s="357" t="s">
        <v>202</v>
      </c>
      <c r="E120" s="358">
        <f t="shared" ref="E120:L120" ca="1" si="57">E119-$D$112</f>
        <v>269.95443434728213</v>
      </c>
      <c r="F120" s="358">
        <f t="shared" ca="1" si="57"/>
        <v>192.729757047568</v>
      </c>
      <c r="G120" s="358">
        <f t="shared" ca="1" si="57"/>
        <v>192.729757047568</v>
      </c>
      <c r="H120" s="358">
        <f t="shared" ca="1" si="57"/>
        <v>579.5549936799016</v>
      </c>
      <c r="I120" s="358">
        <f t="shared" ca="1" si="57"/>
        <v>579.5549936799016</v>
      </c>
      <c r="J120" s="358">
        <f t="shared" ca="1" si="57"/>
        <v>579.5549936799016</v>
      </c>
      <c r="K120" s="358">
        <f t="shared" ca="1" si="57"/>
        <v>242.52000000000021</v>
      </c>
      <c r="L120" s="358">
        <f t="shared" ca="1" si="57"/>
        <v>192.729757047568</v>
      </c>
    </row>
    <row r="121" spans="1:29" s="357" customFormat="1" thickBot="1">
      <c r="C121" s="357" t="s">
        <v>531</v>
      </c>
      <c r="D121" s="357" t="s">
        <v>537</v>
      </c>
      <c r="E121" s="693">
        <f t="shared" ref="E121:L121" ca="1" si="58">E120/E119</f>
        <v>0.19997299722031586</v>
      </c>
      <c r="F121" s="693">
        <f t="shared" ca="1" si="58"/>
        <v>0.1514302278078698</v>
      </c>
      <c r="G121" s="693">
        <f t="shared" ca="1" si="58"/>
        <v>0.1514302278078698</v>
      </c>
      <c r="H121" s="693">
        <f t="shared" ca="1" si="58"/>
        <v>0.34922313263918708</v>
      </c>
      <c r="I121" s="693">
        <f t="shared" ca="1" si="58"/>
        <v>0.34922313263918708</v>
      </c>
      <c r="J121" s="693">
        <f t="shared" ca="1" si="58"/>
        <v>0.34922313263918708</v>
      </c>
      <c r="K121" s="693">
        <f t="shared" ca="1" si="58"/>
        <v>0.18337718900281294</v>
      </c>
      <c r="L121" s="693">
        <f t="shared" ca="1" si="58"/>
        <v>0.1514302278078698</v>
      </c>
    </row>
    <row r="122" spans="1:29" ht="16" thickBot="1">
      <c r="A122" s="83"/>
      <c r="B122" s="204" t="s">
        <v>226</v>
      </c>
      <c r="C122" s="205"/>
      <c r="D122" s="206" t="s">
        <v>1</v>
      </c>
      <c r="E122" s="350">
        <f t="shared" ref="E122:L122" ca="1" si="59">E116-E118</f>
        <v>0.13368323283721292</v>
      </c>
      <c r="F122" s="348">
        <f t="shared" ca="1" si="59"/>
        <v>4.1932357247075766E-2</v>
      </c>
      <c r="G122" s="203">
        <f t="shared" ca="1" si="59"/>
        <v>3.3149088692174034E-2</v>
      </c>
      <c r="H122" s="348">
        <f t="shared" ca="1" si="59"/>
        <v>3.7356700748002236E-2</v>
      </c>
      <c r="I122" s="203">
        <f t="shared" ca="1" si="59"/>
        <v>2.0469010898445619E-2</v>
      </c>
      <c r="J122" s="350">
        <f t="shared" ca="1" si="59"/>
        <v>1.8357104292762935E-2</v>
      </c>
      <c r="K122" s="515">
        <f t="shared" ca="1" si="59"/>
        <v>9.6079811098575177E-2</v>
      </c>
      <c r="L122" s="515">
        <f t="shared" ca="1" si="59"/>
        <v>0.20376702667088473</v>
      </c>
    </row>
    <row r="123" spans="1:29" ht="5.25" customHeight="1"/>
    <row r="124" spans="1:29" s="383" customFormat="1" ht="11">
      <c r="C124" s="384" t="s">
        <v>860</v>
      </c>
      <c r="E124" s="385">
        <f t="shared" ref="E124:L124" ca="1" si="60">E122/E116</f>
        <v>0.82625036358396198</v>
      </c>
      <c r="F124" s="385">
        <f t="shared" ca="1" si="60"/>
        <v>0.59869249493934462</v>
      </c>
      <c r="G124" s="385">
        <f t="shared" ca="1" si="60"/>
        <v>0.58166338979727339</v>
      </c>
      <c r="H124" s="385">
        <f t="shared" ca="1" si="60"/>
        <v>0.57668259099937846</v>
      </c>
      <c r="I124" s="385">
        <f t="shared" ca="1" si="60"/>
        <v>0.46877405057483562</v>
      </c>
      <c r="J124" s="385">
        <f t="shared" ca="1" si="60"/>
        <v>0.47220110651040142</v>
      </c>
      <c r="K124" s="385">
        <f t="shared" ca="1" si="60"/>
        <v>0.80450610510725051</v>
      </c>
      <c r="L124" s="385">
        <f t="shared" ca="1" si="60"/>
        <v>0.8973338464098517</v>
      </c>
    </row>
    <row r="125" spans="1:29" s="383" customFormat="1" ht="11">
      <c r="C125" s="384" t="s">
        <v>234</v>
      </c>
      <c r="D125" s="386" t="s">
        <v>1</v>
      </c>
      <c r="E125" s="387">
        <f t="shared" ref="E125:L125" ca="1" si="61">(E81+E82)/$D$112/1000</f>
        <v>0.12665646037611814</v>
      </c>
      <c r="F125" s="387">
        <f t="shared" ca="1" si="61"/>
        <v>3.691647002245145E-2</v>
      </c>
      <c r="G125" s="387">
        <f t="shared" ca="1" si="61"/>
        <v>2.8894566874290355E-2</v>
      </c>
      <c r="H125" s="387">
        <f t="shared" ca="1" si="61"/>
        <v>2.264141504848596E-2</v>
      </c>
      <c r="I125" s="387">
        <f t="shared" ca="1" si="61"/>
        <v>8.0214725632812289E-3</v>
      </c>
      <c r="J125" s="387">
        <f t="shared" ca="1" si="61"/>
        <v>7.3463632940671316E-3</v>
      </c>
      <c r="K125" s="387">
        <f t="shared" ca="1" si="61"/>
        <v>9.0837053241744042E-2</v>
      </c>
      <c r="L125" s="387">
        <f t="shared" ca="1" si="61"/>
        <v>0.19960665463058461</v>
      </c>
    </row>
    <row r="126" spans="1:29" s="383" customFormat="1" ht="11">
      <c r="C126" s="384" t="s">
        <v>579</v>
      </c>
      <c r="E126" s="385">
        <f t="shared" ref="E126:L126" ca="1" si="62">(E116-E125)/E118</f>
        <v>1.249957809580817</v>
      </c>
      <c r="F126" s="385">
        <f t="shared" ca="1" si="62"/>
        <v>1.1784534787477481</v>
      </c>
      <c r="G126" s="385">
        <f t="shared" ca="1" si="62"/>
        <v>1.1784534787477479</v>
      </c>
      <c r="H126" s="385">
        <f t="shared" ca="1" si="62"/>
        <v>1.536624994148057</v>
      </c>
      <c r="I126" s="385">
        <f t="shared" ca="1" si="62"/>
        <v>1.5366249941480568</v>
      </c>
      <c r="J126" s="385">
        <f t="shared" ca="1" si="62"/>
        <v>1.536624994148057</v>
      </c>
      <c r="K126" s="385">
        <f t="shared" ca="1" si="62"/>
        <v>1.2245555555555558</v>
      </c>
      <c r="L126" s="385">
        <f t="shared" ca="1" si="62"/>
        <v>1.178453478747749</v>
      </c>
    </row>
    <row r="127" spans="1:29" s="383" customFormat="1" ht="11">
      <c r="C127" s="384" t="s">
        <v>610</v>
      </c>
      <c r="E127" s="385">
        <f t="shared" ref="E127:L127" ca="1" si="63">(E81+E82)/E89</f>
        <v>0.78282028504994572</v>
      </c>
      <c r="F127" s="385">
        <f t="shared" ca="1" si="63"/>
        <v>0.5270777746136911</v>
      </c>
      <c r="G127" s="385">
        <f t="shared" ca="1" si="63"/>
        <v>0.50700976641905626</v>
      </c>
      <c r="H127" s="385">
        <f t="shared" ca="1" si="63"/>
        <v>0.34951988887164931</v>
      </c>
      <c r="I127" s="385">
        <f t="shared" ca="1" si="63"/>
        <v>0.1837049285732609</v>
      </c>
      <c r="J127" s="385">
        <f t="shared" ca="1" si="63"/>
        <v>0.18897102838019464</v>
      </c>
      <c r="K127" s="385">
        <f t="shared" ca="1" si="63"/>
        <v>0.76060686493188967</v>
      </c>
      <c r="L127" s="385">
        <f t="shared" ca="1" si="63"/>
        <v>0.87901271415203908</v>
      </c>
    </row>
    <row r="128" spans="1:29">
      <c r="B128" s="1299" t="s">
        <v>884</v>
      </c>
      <c r="C128" s="969"/>
      <c r="D128" s="969"/>
      <c r="E128" s="969"/>
    </row>
    <row r="130" spans="1:8" s="193" customFormat="1">
      <c r="A130" s="193" t="s">
        <v>668</v>
      </c>
    </row>
    <row r="131" spans="1:8" ht="3.75" customHeight="1"/>
    <row r="132" spans="1:8" ht="18" customHeight="1">
      <c r="A132" s="911" t="s">
        <v>661</v>
      </c>
      <c r="B132" s="895" t="str">
        <f ca="1">INDIRECT(H132,TRUE)</f>
        <v>Region</v>
      </c>
      <c r="C132" s="730"/>
      <c r="D132" s="730"/>
      <c r="E132" s="893"/>
      <c r="H132" s="911" t="str">
        <f>CONCATENATE("'DropDown menus'!",A132,3)</f>
        <v>'DropDown menus'!X3</v>
      </c>
    </row>
    <row r="133" spans="1:8" ht="22.5" customHeight="1">
      <c r="H133" s="911"/>
    </row>
    <row r="134" spans="1:8" s="193" customFormat="1">
      <c r="A134" s="193" t="s">
        <v>660</v>
      </c>
      <c r="H134" s="912"/>
    </row>
    <row r="135" spans="1:8" ht="3.75" customHeight="1">
      <c r="H135" s="911"/>
    </row>
    <row r="136" spans="1:8" ht="18" customHeight="1">
      <c r="A136" s="911" t="s">
        <v>664</v>
      </c>
      <c r="B136" s="895" t="str">
        <f ca="1">INDIRECT(H136,TRUE)</f>
        <v>AZA Perfs (Costs &amp; SceLife)</v>
      </c>
      <c r="C136" s="893"/>
      <c r="D136" s="893"/>
      <c r="E136" s="896">
        <f ca="1">OFFSET(INDIRECT(H136,TRUE),1,0)</f>
        <v>1</v>
      </c>
      <c r="H136" s="911" t="str">
        <f>CONCATENATE("'DropDown menus'!",A136,3)</f>
        <v>'DropDown menus'!L3</v>
      </c>
    </row>
    <row r="137" spans="1:8" ht="3.75" customHeight="1">
      <c r="A137" s="911"/>
      <c r="H137" s="911"/>
    </row>
    <row r="138" spans="1:8" ht="18" customHeight="1">
      <c r="A138" s="911" t="s">
        <v>667</v>
      </c>
      <c r="B138" s="895" t="str">
        <f ca="1">INDIRECT(H138,TRUE)</f>
        <v>AZA ZAB energy eff.</v>
      </c>
      <c r="C138" s="893"/>
      <c r="D138" s="893"/>
      <c r="E138" s="896">
        <f ca="1">OFFSET(INDIRECT(H138,TRUE),1,0)</f>
        <v>0.55000000000000004</v>
      </c>
      <c r="H138" s="911" t="str">
        <f>CONCATENATE("'DropDown menus'!",A138,3)</f>
        <v>'DropDown menus'!AI3</v>
      </c>
    </row>
    <row r="139" spans="1:8" ht="3.75" customHeight="1">
      <c r="A139" s="911"/>
      <c r="H139" s="911"/>
    </row>
    <row r="140" spans="1:8" ht="18" customHeight="1">
      <c r="A140" s="911" t="s">
        <v>665</v>
      </c>
      <c r="B140" s="895" t="str">
        <f ca="1">INDIRECT(H140,TRUE)</f>
        <v>Li-ion 2020 performance</v>
      </c>
      <c r="C140" s="893"/>
      <c r="D140" s="893"/>
      <c r="E140" s="896">
        <f ca="1">OFFSET(INDIRECT(H140,TRUE),1,0)</f>
        <v>1</v>
      </c>
      <c r="H140" s="911" t="str">
        <f>CONCATENATE("'DropDown menus'!",A140,3)</f>
        <v>'DropDown menus'!O3</v>
      </c>
    </row>
    <row r="141" spans="1:8" ht="3.75" customHeight="1">
      <c r="A141" s="911"/>
      <c r="H141" s="911"/>
    </row>
    <row r="142" spans="1:8" ht="18" customHeight="1">
      <c r="A142" s="911" t="s">
        <v>662</v>
      </c>
      <c r="B142" s="895" t="str">
        <f ca="1">INDIRECT(H142,TRUE)</f>
        <v>Inflation Rate</v>
      </c>
      <c r="C142" s="894"/>
      <c r="D142" s="893"/>
      <c r="E142" s="897">
        <f ca="1">OFFSET(INDIRECT(H142,TRUE),1,0)</f>
        <v>0.02</v>
      </c>
      <c r="H142" s="911" t="str">
        <f>CONCATENATE("'DropDown menus'!",A142,3)</f>
        <v>'DropDown menus'!F3</v>
      </c>
    </row>
    <row r="143" spans="1:8" ht="3.75" customHeight="1">
      <c r="A143" s="911"/>
      <c r="E143" s="898"/>
      <c r="H143" s="911"/>
    </row>
    <row r="144" spans="1:8" ht="18" customHeight="1">
      <c r="A144" s="911" t="s">
        <v>663</v>
      </c>
      <c r="B144" s="895" t="str">
        <f ca="1">INDIRECT(H144,TRUE)</f>
        <v>WACC nominal</v>
      </c>
      <c r="C144" s="893"/>
      <c r="D144" s="893"/>
      <c r="E144" s="897">
        <f ca="1">OFFSET(INDIRECT(H144,TRUE),1,0)</f>
        <v>0.04</v>
      </c>
      <c r="H144" s="911" t="str">
        <f>CONCATENATE("'DropDown menus'!",A144,3)</f>
        <v>'DropDown menus'!I3</v>
      </c>
    </row>
    <row r="145" spans="1:11" ht="3.75" customHeight="1">
      <c r="A145" s="911"/>
      <c r="E145" s="898"/>
      <c r="H145" s="911"/>
    </row>
    <row r="146" spans="1:11" ht="18" customHeight="1">
      <c r="A146" s="911" t="s">
        <v>666</v>
      </c>
      <c r="B146" s="895" t="str">
        <f ca="1">INDIRECT(H146,TRUE)</f>
        <v>PV OPEX/CAPEX</v>
      </c>
      <c r="C146" s="893"/>
      <c r="D146" s="893"/>
      <c r="E146" s="897">
        <f ca="1">OFFSET(INDIRECT(H146,TRUE),1,0)</f>
        <v>0.02</v>
      </c>
      <c r="H146" s="911" t="str">
        <f>CONCATENATE("'DropDown menus'!",A146,3)</f>
        <v>'DropDown menus'!AF3</v>
      </c>
    </row>
    <row r="147" spans="1:11" ht="3.75" customHeight="1"/>
    <row r="148" spans="1:11" ht="18" customHeight="1">
      <c r="A148" s="911" t="s">
        <v>275</v>
      </c>
      <c r="B148" s="895" t="str">
        <f ca="1">INDIRECT(H148,TRUE)</f>
        <v>EUR2USD yearly progress</v>
      </c>
      <c r="C148" s="893"/>
      <c r="D148" s="893"/>
      <c r="E148" s="897">
        <f ca="1">OFFSET(INDIRECT(H148,TRUE),1,0)</f>
        <v>0</v>
      </c>
      <c r="H148" s="911" t="str">
        <f>CONCATENATE("'DropDown menus'!",A148,3)</f>
        <v>'DropDown menus'!C3</v>
      </c>
    </row>
    <row r="149" spans="1:11" ht="3.75" customHeight="1">
      <c r="A149" s="911"/>
      <c r="E149" s="898"/>
      <c r="H149" s="911"/>
    </row>
    <row r="150" spans="1:11" ht="18" customHeight="1">
      <c r="A150" s="911" t="s">
        <v>685</v>
      </c>
      <c r="B150" s="895" t="str">
        <f ca="1">INDIRECT(H150,TRUE)</f>
        <v>PV Balance of System</v>
      </c>
      <c r="C150" s="893"/>
      <c r="D150" s="893"/>
      <c r="E150" s="966">
        <f ca="1">OFFSET(INDIRECT(H150,TRUE),1,0)</f>
        <v>125</v>
      </c>
      <c r="H150" s="911" t="str">
        <f>CONCATENATE("'DropDown menus'!",A150,3)</f>
        <v>'DropDown menus'!AO3</v>
      </c>
      <c r="I150" s="955"/>
      <c r="J150" s="955"/>
      <c r="K150" s="955"/>
    </row>
    <row r="151" spans="1:11" ht="3.75" customHeight="1">
      <c r="A151" s="911"/>
      <c r="E151" s="898"/>
      <c r="H151" s="911"/>
    </row>
    <row r="152" spans="1:11" ht="18" customHeight="1">
      <c r="A152" s="955" t="s">
        <v>685</v>
      </c>
      <c r="B152" s="895" t="s">
        <v>839</v>
      </c>
      <c r="C152" s="893"/>
      <c r="D152" s="1231" t="s">
        <v>842</v>
      </c>
      <c r="E152" s="1231"/>
      <c r="F152" s="724"/>
      <c r="G152" s="724"/>
    </row>
  </sheetData>
  <mergeCells count="34">
    <mergeCell ref="B60:C60"/>
    <mergeCell ref="B41:B44"/>
    <mergeCell ref="F49:G49"/>
    <mergeCell ref="H49:J49"/>
    <mergeCell ref="B51:C51"/>
    <mergeCell ref="B52:C52"/>
    <mergeCell ref="B79:B80"/>
    <mergeCell ref="F114:G114"/>
    <mergeCell ref="H114:J114"/>
    <mergeCell ref="B63:C63"/>
    <mergeCell ref="B65:C65"/>
    <mergeCell ref="B70:C70"/>
    <mergeCell ref="B76:C76"/>
    <mergeCell ref="B77:C77"/>
    <mergeCell ref="B78:C78"/>
    <mergeCell ref="P18:V18"/>
    <mergeCell ref="S22:V22"/>
    <mergeCell ref="S19:V20"/>
    <mergeCell ref="B37:B40"/>
    <mergeCell ref="B28:C28"/>
    <mergeCell ref="B29:C29"/>
    <mergeCell ref="B33:C33"/>
    <mergeCell ref="B34:C34"/>
    <mergeCell ref="B36:C36"/>
    <mergeCell ref="M26:N26"/>
    <mergeCell ref="B26:C26"/>
    <mergeCell ref="B35:C35"/>
    <mergeCell ref="B4:C4"/>
    <mergeCell ref="B5:C5"/>
    <mergeCell ref="F19:G19"/>
    <mergeCell ref="H19:J19"/>
    <mergeCell ref="B25:C25"/>
    <mergeCell ref="B22:C22"/>
    <mergeCell ref="B24:C24"/>
  </mergeCells>
  <pageMargins left="0.7" right="0.7" top="0.75" bottom="0.75" header="0.51180555555555496" footer="0.51180555555555496"/>
  <pageSetup firstPageNumber="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51" r:id="rId4" name="Drop Down 7">
              <controlPr defaultSize="0" autoLine="0" autoPict="0">
                <anchor moveWithCells="1">
                  <from>
                    <xdr:col>1</xdr:col>
                    <xdr:colOff>88900</xdr:colOff>
                    <xdr:row>11</xdr:row>
                    <xdr:rowOff>63500</xdr:rowOff>
                  </from>
                  <to>
                    <xdr:col>2</xdr:col>
                    <xdr:colOff>1701800</xdr:colOff>
                    <xdr:row>12</xdr:row>
                    <xdr:rowOff>139700</xdr:rowOff>
                  </to>
                </anchor>
              </controlPr>
            </control>
          </mc:Choice>
        </mc:AlternateContent>
        <mc:AlternateContent xmlns:mc="http://schemas.openxmlformats.org/markup-compatibility/2006">
          <mc:Choice Requires="x14">
            <control shapeId="57352" r:id="rId5" name="Drop Down 8">
              <controlPr defaultSize="0" autoLine="0" autoPict="0">
                <anchor moveWithCells="1">
                  <from>
                    <xdr:col>2</xdr:col>
                    <xdr:colOff>736600</xdr:colOff>
                    <xdr:row>131</xdr:row>
                    <xdr:rowOff>25400</xdr:rowOff>
                  </from>
                  <to>
                    <xdr:col>4</xdr:col>
                    <xdr:colOff>635000</xdr:colOff>
                    <xdr:row>131</xdr:row>
                    <xdr:rowOff>203200</xdr:rowOff>
                  </to>
                </anchor>
              </controlPr>
            </control>
          </mc:Choice>
        </mc:AlternateContent>
        <mc:AlternateContent xmlns:mc="http://schemas.openxmlformats.org/markup-compatibility/2006">
          <mc:Choice Requires="x14">
            <control shapeId="57353" r:id="rId6" name="Drop Down 9">
              <controlPr defaultSize="0" autoLine="0" autoPict="0">
                <anchor moveWithCells="1">
                  <from>
                    <xdr:col>2</xdr:col>
                    <xdr:colOff>698500</xdr:colOff>
                    <xdr:row>6</xdr:row>
                    <xdr:rowOff>38100</xdr:rowOff>
                  </from>
                  <to>
                    <xdr:col>2</xdr:col>
                    <xdr:colOff>1587500</xdr:colOff>
                    <xdr:row>6</xdr:row>
                    <xdr:rowOff>215900</xdr:rowOff>
                  </to>
                </anchor>
              </controlPr>
            </control>
          </mc:Choice>
        </mc:AlternateContent>
        <mc:AlternateContent xmlns:mc="http://schemas.openxmlformats.org/markup-compatibility/2006">
          <mc:Choice Requires="x14">
            <control shapeId="57356" r:id="rId7" name="Drop Down 12">
              <controlPr defaultSize="0" autoLine="0" autoPict="0">
                <anchor moveWithCells="1">
                  <from>
                    <xdr:col>2</xdr:col>
                    <xdr:colOff>863600</xdr:colOff>
                    <xdr:row>145</xdr:row>
                    <xdr:rowOff>25400</xdr:rowOff>
                  </from>
                  <to>
                    <xdr:col>2</xdr:col>
                    <xdr:colOff>1574800</xdr:colOff>
                    <xdr:row>145</xdr:row>
                    <xdr:rowOff>215900</xdr:rowOff>
                  </to>
                </anchor>
              </controlPr>
            </control>
          </mc:Choice>
        </mc:AlternateContent>
        <mc:AlternateContent xmlns:mc="http://schemas.openxmlformats.org/markup-compatibility/2006">
          <mc:Choice Requires="x14">
            <control shapeId="57357" r:id="rId8" name="Drop Down 13">
              <controlPr defaultSize="0" autoLine="0" autoPict="0">
                <anchor moveWithCells="1">
                  <from>
                    <xdr:col>2</xdr:col>
                    <xdr:colOff>863600</xdr:colOff>
                    <xdr:row>137</xdr:row>
                    <xdr:rowOff>25400</xdr:rowOff>
                  </from>
                  <to>
                    <xdr:col>2</xdr:col>
                    <xdr:colOff>1676400</xdr:colOff>
                    <xdr:row>137</xdr:row>
                    <xdr:rowOff>215900</xdr:rowOff>
                  </to>
                </anchor>
              </controlPr>
            </control>
          </mc:Choice>
        </mc:AlternateContent>
        <mc:AlternateContent xmlns:mc="http://schemas.openxmlformats.org/markup-compatibility/2006">
          <mc:Choice Requires="x14">
            <control shapeId="57358" r:id="rId9" name="Drop Down 14">
              <controlPr defaultSize="0" autoLine="0" autoPict="0">
                <anchor moveWithCells="1">
                  <from>
                    <xdr:col>2</xdr:col>
                    <xdr:colOff>863600</xdr:colOff>
                    <xdr:row>139</xdr:row>
                    <xdr:rowOff>25400</xdr:rowOff>
                  </from>
                  <to>
                    <xdr:col>4</xdr:col>
                    <xdr:colOff>0</xdr:colOff>
                    <xdr:row>139</xdr:row>
                    <xdr:rowOff>215900</xdr:rowOff>
                  </to>
                </anchor>
              </controlPr>
            </control>
          </mc:Choice>
        </mc:AlternateContent>
        <mc:AlternateContent xmlns:mc="http://schemas.openxmlformats.org/markup-compatibility/2006">
          <mc:Choice Requires="x14">
            <control shapeId="57359" r:id="rId10" name="Drop Down 15">
              <controlPr defaultSize="0" autoLine="0" autoPict="0">
                <anchor moveWithCells="1">
                  <from>
                    <xdr:col>2</xdr:col>
                    <xdr:colOff>863600</xdr:colOff>
                    <xdr:row>135</xdr:row>
                    <xdr:rowOff>25400</xdr:rowOff>
                  </from>
                  <to>
                    <xdr:col>2</xdr:col>
                    <xdr:colOff>1714500</xdr:colOff>
                    <xdr:row>135</xdr:row>
                    <xdr:rowOff>203200</xdr:rowOff>
                  </to>
                </anchor>
              </controlPr>
            </control>
          </mc:Choice>
        </mc:AlternateContent>
        <mc:AlternateContent xmlns:mc="http://schemas.openxmlformats.org/markup-compatibility/2006">
          <mc:Choice Requires="x14">
            <control shapeId="57360" r:id="rId11" name="Drop Down 16">
              <controlPr defaultSize="0" autoLine="0" autoPict="0">
                <anchor moveWithCells="1">
                  <from>
                    <xdr:col>2</xdr:col>
                    <xdr:colOff>863600</xdr:colOff>
                    <xdr:row>141</xdr:row>
                    <xdr:rowOff>25400</xdr:rowOff>
                  </from>
                  <to>
                    <xdr:col>2</xdr:col>
                    <xdr:colOff>1676400</xdr:colOff>
                    <xdr:row>141</xdr:row>
                    <xdr:rowOff>215900</xdr:rowOff>
                  </to>
                </anchor>
              </controlPr>
            </control>
          </mc:Choice>
        </mc:AlternateContent>
        <mc:AlternateContent xmlns:mc="http://schemas.openxmlformats.org/markup-compatibility/2006">
          <mc:Choice Requires="x14">
            <control shapeId="57361" r:id="rId12" name="Drop Down 17">
              <controlPr defaultSize="0" autoLine="0" autoPict="0">
                <anchor moveWithCells="1">
                  <from>
                    <xdr:col>2</xdr:col>
                    <xdr:colOff>863600</xdr:colOff>
                    <xdr:row>143</xdr:row>
                    <xdr:rowOff>25400</xdr:rowOff>
                  </from>
                  <to>
                    <xdr:col>2</xdr:col>
                    <xdr:colOff>1485900</xdr:colOff>
                    <xdr:row>143</xdr:row>
                    <xdr:rowOff>215900</xdr:rowOff>
                  </to>
                </anchor>
              </controlPr>
            </control>
          </mc:Choice>
        </mc:AlternateContent>
        <mc:AlternateContent xmlns:mc="http://schemas.openxmlformats.org/markup-compatibility/2006">
          <mc:Choice Requires="x14">
            <control shapeId="57362" r:id="rId13" name="Drop Down 18">
              <controlPr defaultSize="0" autoLine="0" autoPict="0">
                <anchor moveWithCells="1">
                  <from>
                    <xdr:col>2</xdr:col>
                    <xdr:colOff>863600</xdr:colOff>
                    <xdr:row>147</xdr:row>
                    <xdr:rowOff>25400</xdr:rowOff>
                  </from>
                  <to>
                    <xdr:col>2</xdr:col>
                    <xdr:colOff>1384300</xdr:colOff>
                    <xdr:row>147</xdr:row>
                    <xdr:rowOff>215900</xdr:rowOff>
                  </to>
                </anchor>
              </controlPr>
            </control>
          </mc:Choice>
        </mc:AlternateContent>
        <mc:AlternateContent xmlns:mc="http://schemas.openxmlformats.org/markup-compatibility/2006">
          <mc:Choice Requires="x14">
            <control shapeId="57364" r:id="rId14" name="Drop Down 20">
              <controlPr defaultSize="0" autoLine="0" autoPict="0">
                <anchor moveWithCells="1">
                  <from>
                    <xdr:col>2</xdr:col>
                    <xdr:colOff>685800</xdr:colOff>
                    <xdr:row>8</xdr:row>
                    <xdr:rowOff>38100</xdr:rowOff>
                  </from>
                  <to>
                    <xdr:col>3</xdr:col>
                    <xdr:colOff>558800</xdr:colOff>
                    <xdr:row>8</xdr:row>
                    <xdr:rowOff>215900</xdr:rowOff>
                  </to>
                </anchor>
              </controlPr>
            </control>
          </mc:Choice>
        </mc:AlternateContent>
        <mc:AlternateContent xmlns:mc="http://schemas.openxmlformats.org/markup-compatibility/2006">
          <mc:Choice Requires="x14">
            <control shapeId="57365" r:id="rId15" name="Button 21">
              <controlPr defaultSize="0" print="0" autoFill="0" autoPict="0" macro="[0]!SET_NOMINAL_options">
                <anchor moveWithCells="1" sizeWithCells="1">
                  <from>
                    <xdr:col>3</xdr:col>
                    <xdr:colOff>101600</xdr:colOff>
                    <xdr:row>132</xdr:row>
                    <xdr:rowOff>279400</xdr:rowOff>
                  </from>
                  <to>
                    <xdr:col>4</xdr:col>
                    <xdr:colOff>635000</xdr:colOff>
                    <xdr:row>134</xdr:row>
                    <xdr:rowOff>12700</xdr:rowOff>
                  </to>
                </anchor>
              </controlPr>
            </control>
          </mc:Choice>
        </mc:AlternateContent>
        <mc:AlternateContent xmlns:mc="http://schemas.openxmlformats.org/markup-compatibility/2006">
          <mc:Choice Requires="x14">
            <control shapeId="57366" r:id="rId16" name="Drop Down 22">
              <controlPr defaultSize="0" autoLine="0" autoPict="0">
                <anchor moveWithCells="1">
                  <from>
                    <xdr:col>2</xdr:col>
                    <xdr:colOff>863600</xdr:colOff>
                    <xdr:row>149</xdr:row>
                    <xdr:rowOff>25400</xdr:rowOff>
                  </from>
                  <to>
                    <xdr:col>2</xdr:col>
                    <xdr:colOff>1511300</xdr:colOff>
                    <xdr:row>149</xdr:row>
                    <xdr:rowOff>228600</xdr:rowOff>
                  </to>
                </anchor>
              </controlPr>
            </control>
          </mc:Choice>
        </mc:AlternateContent>
        <mc:AlternateContent xmlns:mc="http://schemas.openxmlformats.org/markup-compatibility/2006">
          <mc:Choice Requires="x14">
            <control shapeId="57367" r:id="rId17" name="Drop Down 23">
              <controlPr defaultSize="0" autoLine="0" autoPict="0">
                <anchor moveWithCells="1">
                  <from>
                    <xdr:col>1</xdr:col>
                    <xdr:colOff>863600</xdr:colOff>
                    <xdr:row>151</xdr:row>
                    <xdr:rowOff>25400</xdr:rowOff>
                  </from>
                  <to>
                    <xdr:col>2</xdr:col>
                    <xdr:colOff>1727200</xdr:colOff>
                    <xdr:row>151</xdr:row>
                    <xdr:rowOff>215900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7030A0"/>
  </sheetPr>
  <dimension ref="D3:R44"/>
  <sheetViews>
    <sheetView topLeftCell="A4" zoomScale="60" zoomScaleNormal="60" workbookViewId="0">
      <selection activeCell="D20" sqref="D20"/>
    </sheetView>
  </sheetViews>
  <sheetFormatPr baseColWidth="10" defaultColWidth="12.5" defaultRowHeight="16"/>
  <cols>
    <col min="1" max="1" width="4" style="1009" customWidth="1"/>
    <col min="2" max="2" width="3.33203125" style="1009" customWidth="1"/>
    <col min="3" max="3" width="6.5" style="1009" customWidth="1"/>
    <col min="4" max="4" width="72" style="1009" customWidth="1"/>
    <col min="5" max="5" width="18.5" style="1009" customWidth="1"/>
    <col min="6" max="6" width="21.5" style="1009" customWidth="1"/>
    <col min="7" max="7" width="16.83203125" style="1009" customWidth="1"/>
    <col min="8" max="11" width="14.5" style="1009" customWidth="1"/>
    <col min="12" max="12" width="16.1640625" style="1009" customWidth="1"/>
    <col min="13" max="17" width="14.5" style="1009" customWidth="1"/>
    <col min="18" max="16384" width="12.5" style="1009"/>
  </cols>
  <sheetData>
    <row r="3" spans="4:18" ht="26">
      <c r="D3" s="1529" t="s">
        <v>728</v>
      </c>
      <c r="E3" s="1529"/>
      <c r="F3" s="1529"/>
      <c r="G3" s="1529"/>
      <c r="H3" s="1529"/>
      <c r="I3" s="1529"/>
      <c r="J3" s="1529"/>
      <c r="K3" s="1529"/>
      <c r="L3" s="1529"/>
      <c r="M3" s="1529"/>
      <c r="N3" s="1529"/>
      <c r="O3" s="1529"/>
      <c r="P3" s="1529"/>
    </row>
    <row r="4" spans="4:18">
      <c r="D4" s="1530" t="s">
        <v>749</v>
      </c>
      <c r="E4" s="1530"/>
      <c r="F4" s="1530"/>
      <c r="G4" s="1530"/>
      <c r="H4" s="1530"/>
      <c r="I4" s="1530"/>
      <c r="J4" s="1530"/>
      <c r="K4" s="1530"/>
      <c r="L4" s="1530"/>
      <c r="M4" s="1530"/>
      <c r="N4" s="1530"/>
      <c r="O4" s="1530"/>
      <c r="P4" s="1530"/>
    </row>
    <row r="6" spans="4:18" ht="22" thickBot="1">
      <c r="D6" s="1531"/>
      <c r="E6" s="1531"/>
      <c r="F6" s="1531"/>
      <c r="G6" s="1095"/>
      <c r="H6" s="1096" t="s">
        <v>727</v>
      </c>
      <c r="I6" s="1095"/>
      <c r="J6" s="1095"/>
      <c r="K6" s="1095"/>
      <c r="L6" s="1095"/>
      <c r="M6" s="1095"/>
      <c r="N6" s="1095"/>
      <c r="O6" s="1095"/>
      <c r="P6" s="1095"/>
      <c r="Q6" s="1095"/>
      <c r="R6" s="1095"/>
    </row>
    <row r="7" spans="4:18" ht="22.5" customHeight="1" thickBot="1">
      <c r="D7" s="1063" t="s">
        <v>750</v>
      </c>
      <c r="E7" s="1064">
        <v>2028</v>
      </c>
      <c r="F7" s="1061"/>
      <c r="G7" s="1095"/>
      <c r="H7" s="1095"/>
      <c r="I7" s="1095"/>
      <c r="J7" s="1095"/>
      <c r="K7" s="1095"/>
      <c r="L7" s="1095"/>
      <c r="M7" s="1095"/>
      <c r="N7" s="1095"/>
      <c r="O7" s="1103" t="s">
        <v>777</v>
      </c>
      <c r="P7" s="1025"/>
      <c r="Q7" s="1025"/>
      <c r="R7" s="1025"/>
    </row>
    <row r="8" spans="4:18">
      <c r="D8" s="1065" t="s">
        <v>726</v>
      </c>
      <c r="E8" s="1066" t="s">
        <v>751</v>
      </c>
      <c r="F8" s="1062"/>
      <c r="G8" s="1095"/>
      <c r="H8" s="1095"/>
      <c r="I8" s="1095"/>
      <c r="J8" s="1095"/>
      <c r="K8" s="1095"/>
      <c r="L8" s="1095"/>
      <c r="M8" s="1095"/>
      <c r="N8" s="1095"/>
      <c r="O8" s="1095"/>
      <c r="P8" s="1095"/>
      <c r="Q8" s="1095"/>
      <c r="R8" s="1095"/>
    </row>
    <row r="9" spans="4:18" ht="21.75" customHeight="1">
      <c r="D9" s="1067" t="s">
        <v>759</v>
      </c>
      <c r="E9" s="1071">
        <f ca="1">H9</f>
        <v>26.064199999999996</v>
      </c>
      <c r="F9" s="1031" t="s">
        <v>760</v>
      </c>
      <c r="G9" s="1218">
        <v>-0.04</v>
      </c>
      <c r="H9" s="1097">
        <f ca="1">'Container system'!K47</f>
        <v>26.064199999999996</v>
      </c>
      <c r="I9" s="1095"/>
      <c r="J9" s="1095"/>
      <c r="K9" s="1095" t="s">
        <v>723</v>
      </c>
      <c r="L9" s="1095"/>
      <c r="M9" s="1095"/>
      <c r="N9" s="1095"/>
      <c r="O9" s="1095"/>
      <c r="P9" s="1095"/>
      <c r="Q9" s="1095"/>
      <c r="R9" s="1095"/>
    </row>
    <row r="10" spans="4:18" ht="21.75" customHeight="1">
      <c r="D10" s="1067" t="s">
        <v>769</v>
      </c>
      <c r="E10" s="1104">
        <f t="shared" ref="E10:E27" ca="1" si="0">H10</f>
        <v>1670.7599999999998</v>
      </c>
      <c r="F10" s="1031" t="s">
        <v>778</v>
      </c>
      <c r="G10" s="1095"/>
      <c r="H10" s="1028">
        <f ca="1">Packs!E40</f>
        <v>1670.7599999999998</v>
      </c>
      <c r="I10" s="1095"/>
      <c r="J10" s="1095"/>
      <c r="K10" s="1095"/>
      <c r="L10" s="1095"/>
      <c r="M10" s="1095"/>
      <c r="N10" s="1095"/>
      <c r="O10" s="1095"/>
      <c r="P10" s="1095"/>
      <c r="Q10" s="1095"/>
      <c r="R10" s="1095"/>
    </row>
    <row r="11" spans="4:18" ht="21.75" customHeight="1">
      <c r="D11" s="1067" t="s">
        <v>770</v>
      </c>
      <c r="E11" s="1072">
        <f t="shared" ca="1" si="0"/>
        <v>28.2744</v>
      </c>
      <c r="F11" s="1032" t="s">
        <v>761</v>
      </c>
      <c r="G11" s="1095"/>
      <c r="H11" s="1028">
        <f ca="1">Packs!E39</f>
        <v>28.2744</v>
      </c>
      <c r="I11" s="1095"/>
      <c r="J11" s="1095"/>
      <c r="K11" s="1095"/>
      <c r="L11" s="1095"/>
      <c r="M11" s="1095"/>
      <c r="N11" s="1095"/>
      <c r="O11" s="1095"/>
      <c r="P11" s="1095"/>
      <c r="Q11" s="1095"/>
      <c r="R11" s="1095"/>
    </row>
    <row r="12" spans="4:18" ht="21.75" customHeight="1">
      <c r="D12" s="1068" t="s">
        <v>780</v>
      </c>
      <c r="E12" s="1091">
        <f t="shared" ca="1" si="0"/>
        <v>36.837740185304888</v>
      </c>
      <c r="F12" s="1031" t="s">
        <v>760</v>
      </c>
      <c r="G12" s="1029"/>
      <c r="H12" s="1097">
        <f ca="1">'Container system'!H47</f>
        <v>36.837740185304888</v>
      </c>
      <c r="I12" s="1095"/>
      <c r="J12" s="1095"/>
      <c r="K12" s="1095" t="s">
        <v>723</v>
      </c>
      <c r="L12" s="1095"/>
      <c r="M12" s="1095"/>
      <c r="N12" s="1095"/>
      <c r="O12" s="1095"/>
      <c r="P12" s="1095"/>
      <c r="Q12" s="1095"/>
      <c r="R12" s="1095"/>
    </row>
    <row r="13" spans="4:18" ht="21.75" customHeight="1">
      <c r="D13" s="1067" t="s">
        <v>725</v>
      </c>
      <c r="E13" s="1073">
        <f t="shared" ca="1" si="0"/>
        <v>0.41301897676875055</v>
      </c>
      <c r="F13" s="1032"/>
      <c r="G13" s="1095"/>
      <c r="H13" s="1020">
        <f ca="1">(H14-H12)/H12</f>
        <v>0.41301897676875055</v>
      </c>
      <c r="I13" s="1095"/>
      <c r="J13" s="1095"/>
      <c r="K13" s="1095"/>
      <c r="L13" s="1095"/>
      <c r="M13" s="1095"/>
      <c r="N13" s="1095"/>
      <c r="O13" s="1095"/>
      <c r="P13" s="1095"/>
      <c r="Q13" s="1095"/>
      <c r="R13" s="1095"/>
    </row>
    <row r="14" spans="4:18" ht="21.75" customHeight="1">
      <c r="D14" s="1067" t="s">
        <v>768</v>
      </c>
      <c r="E14" s="1092">
        <f t="shared" ca="1" si="0"/>
        <v>52.052425943112596</v>
      </c>
      <c r="F14" s="1031" t="s">
        <v>760</v>
      </c>
      <c r="G14" s="1095"/>
      <c r="H14" s="1097">
        <f ca="1">'Container system'!E56</f>
        <v>52.052425943112596</v>
      </c>
      <c r="I14" s="1095"/>
      <c r="J14" s="1095" t="s">
        <v>724</v>
      </c>
      <c r="K14" s="1095" t="s">
        <v>723</v>
      </c>
      <c r="L14" s="1095"/>
      <c r="M14" s="1095"/>
      <c r="N14" s="1095"/>
      <c r="O14" s="1095"/>
      <c r="P14" s="1095"/>
      <c r="Q14" s="1095"/>
      <c r="R14" s="1095"/>
    </row>
    <row r="15" spans="4:18" ht="21.75" customHeight="1">
      <c r="D15" s="1067" t="s">
        <v>722</v>
      </c>
      <c r="E15" s="1072">
        <f t="shared" ca="1" si="0"/>
        <v>5.5</v>
      </c>
      <c r="F15" s="1032" t="s">
        <v>762</v>
      </c>
      <c r="G15" s="1095"/>
      <c r="H15" s="1028">
        <f ca="1">OFFSET('AZA CyclesNbr'!K20,0,opt_year-2022)</f>
        <v>5.5</v>
      </c>
      <c r="I15" s="1095"/>
      <c r="J15" s="1095"/>
      <c r="K15" s="1095" t="s">
        <v>721</v>
      </c>
      <c r="L15" s="1095"/>
      <c r="M15" s="1095"/>
      <c r="N15" s="1095"/>
      <c r="O15" s="1095"/>
      <c r="P15" s="1095"/>
      <c r="Q15" s="1095"/>
      <c r="R15" s="1095"/>
    </row>
    <row r="16" spans="4:18" ht="21.75" customHeight="1">
      <c r="D16" s="1105" t="s">
        <v>772</v>
      </c>
      <c r="E16" s="1073">
        <f t="shared" si="0"/>
        <v>0.7</v>
      </c>
      <c r="F16" s="1032"/>
      <c r="G16" s="1095"/>
      <c r="H16" s="1098">
        <v>0.7</v>
      </c>
      <c r="I16" s="1095"/>
      <c r="J16" s="1095"/>
      <c r="K16" s="1095"/>
      <c r="L16" s="1095"/>
      <c r="M16" s="1095"/>
      <c r="N16" s="1095"/>
      <c r="O16" s="1095"/>
      <c r="P16" s="1095"/>
      <c r="Q16" s="1095"/>
      <c r="R16" s="1095"/>
    </row>
    <row r="17" spans="4:18" ht="21.75" customHeight="1">
      <c r="D17" s="1105" t="s">
        <v>771</v>
      </c>
      <c r="E17" s="1073">
        <f ca="1">E16^(1/E15)-1</f>
        <v>-6.279195640763191E-2</v>
      </c>
      <c r="F17" s="1032" t="s">
        <v>763</v>
      </c>
      <c r="G17" s="1095"/>
      <c r="H17" s="1098"/>
      <c r="I17" s="1095"/>
      <c r="J17" s="1095"/>
      <c r="K17" s="1095"/>
      <c r="L17" s="1095"/>
      <c r="M17" s="1095"/>
      <c r="N17" s="1095"/>
      <c r="O17" s="1095"/>
      <c r="P17" s="1095"/>
      <c r="Q17" s="1095"/>
      <c r="R17" s="1095"/>
    </row>
    <row r="18" spans="4:18" ht="21.75" customHeight="1">
      <c r="D18" s="1105" t="s">
        <v>767</v>
      </c>
      <c r="E18" s="1070">
        <f t="shared" si="0"/>
        <v>10</v>
      </c>
      <c r="F18" s="1032" t="s">
        <v>764</v>
      </c>
      <c r="G18" s="1095"/>
      <c r="H18" s="1099">
        <v>10</v>
      </c>
      <c r="I18" s="1095"/>
      <c r="J18" s="1095"/>
      <c r="K18" s="1095"/>
      <c r="L18" s="1095"/>
      <c r="M18" s="1095"/>
      <c r="N18" s="1095"/>
      <c r="O18" s="1095"/>
      <c r="P18" s="1095"/>
      <c r="Q18" s="1095"/>
      <c r="R18" s="1095"/>
    </row>
    <row r="19" spans="4:18" ht="21.75" customHeight="1">
      <c r="D19" s="1105" t="s">
        <v>773</v>
      </c>
      <c r="E19" s="1070">
        <f t="shared" si="0"/>
        <v>8</v>
      </c>
      <c r="F19" s="1032" t="s">
        <v>765</v>
      </c>
      <c r="G19" s="1095"/>
      <c r="H19" s="1100">
        <v>8</v>
      </c>
      <c r="I19" s="1095"/>
      <c r="J19" s="1095"/>
      <c r="K19" s="1095"/>
      <c r="L19" s="1095"/>
      <c r="M19" s="1095"/>
      <c r="N19" s="1095"/>
      <c r="O19" s="1095"/>
      <c r="P19" s="1095"/>
      <c r="Q19" s="1095"/>
      <c r="R19" s="1095"/>
    </row>
    <row r="20" spans="4:18" ht="21.75" customHeight="1">
      <c r="D20" s="1105" t="s">
        <v>813</v>
      </c>
      <c r="E20" s="1093">
        <f t="shared" si="0"/>
        <v>1.25</v>
      </c>
      <c r="F20" s="1032" t="s">
        <v>766</v>
      </c>
      <c r="G20" s="1095"/>
      <c r="H20" s="1101">
        <f>H18/H19</f>
        <v>1.25</v>
      </c>
      <c r="I20" s="1095"/>
      <c r="J20" s="1095"/>
      <c r="K20" s="1095"/>
      <c r="L20" s="1095"/>
      <c r="M20" s="1095"/>
      <c r="N20" s="1095"/>
      <c r="O20" s="1095"/>
      <c r="P20" s="1095"/>
      <c r="Q20" s="1095"/>
      <c r="R20" s="1095"/>
    </row>
    <row r="21" spans="4:18" ht="21.75" customHeight="1">
      <c r="D21" s="1106" t="s">
        <v>779</v>
      </c>
      <c r="E21" s="1074">
        <f t="shared" ca="1" si="0"/>
        <v>520524.25943112595</v>
      </c>
      <c r="F21" s="1032"/>
      <c r="G21" s="1095"/>
      <c r="H21" s="1030">
        <f ca="1">H14*1000*H18</f>
        <v>520524.25943112595</v>
      </c>
      <c r="I21" s="1095"/>
      <c r="J21" s="1095"/>
      <c r="K21" s="1095"/>
      <c r="L21" s="1095"/>
      <c r="M21" s="1095"/>
      <c r="N21" s="1095"/>
      <c r="O21" s="1095"/>
      <c r="P21" s="1095"/>
      <c r="Q21" s="1095"/>
      <c r="R21" s="1095"/>
    </row>
    <row r="22" spans="4:18" ht="21.75" customHeight="1">
      <c r="D22" s="1106" t="s">
        <v>748</v>
      </c>
      <c r="E22" s="1074">
        <f t="shared" ca="1" si="0"/>
        <v>26132.94264125068</v>
      </c>
      <c r="F22" s="1032"/>
      <c r="G22" s="1095"/>
      <c r="H22" s="1030">
        <f ca="1">H20*'Container system'!H57*1000</f>
        <v>26132.94264125068</v>
      </c>
      <c r="I22" s="1095"/>
      <c r="J22" s="1095"/>
      <c r="K22" s="1095"/>
      <c r="L22" s="1095"/>
      <c r="M22" s="1095"/>
      <c r="N22" s="1095"/>
      <c r="O22" s="1095"/>
      <c r="P22" s="1095"/>
      <c r="Q22" s="1095"/>
      <c r="R22" s="1095"/>
    </row>
    <row r="23" spans="4:18" ht="21.75" customHeight="1">
      <c r="D23" s="1105" t="s">
        <v>720</v>
      </c>
      <c r="E23" s="1071">
        <f t="shared" ca="1" si="0"/>
        <v>208226.58721376405</v>
      </c>
      <c r="F23" s="1032"/>
      <c r="G23" s="1095"/>
      <c r="H23" s="1030">
        <f ca="1">H9*(1+G9)^H15*H18*1000</f>
        <v>208226.58721376405</v>
      </c>
      <c r="I23" s="1095"/>
      <c r="J23" s="1218">
        <v>0.15</v>
      </c>
      <c r="K23" s="1219" t="s">
        <v>833</v>
      </c>
      <c r="L23" s="1095"/>
      <c r="M23" s="1095"/>
      <c r="N23" s="1095"/>
      <c r="O23" s="1095"/>
      <c r="P23" s="1095"/>
      <c r="Q23" s="1095"/>
      <c r="R23" s="1095"/>
    </row>
    <row r="24" spans="4:18" ht="21.75" customHeight="1">
      <c r="D24" s="1105" t="s">
        <v>719</v>
      </c>
      <c r="E24" s="1075">
        <f t="shared" ca="1" si="0"/>
        <v>1980</v>
      </c>
      <c r="F24" s="1032" t="s">
        <v>137</v>
      </c>
      <c r="G24" s="1095"/>
      <c r="H24" s="1026">
        <f ca="1">MIN(H15*360,OFFSET('AZA CyclesNbr'!K12,0,(opt_YearId-1)*6))</f>
        <v>1980</v>
      </c>
      <c r="I24" s="1095"/>
      <c r="J24" s="1095"/>
      <c r="K24" s="1095"/>
      <c r="L24" s="1095"/>
      <c r="M24" s="1095"/>
      <c r="N24" s="1095"/>
      <c r="O24" s="1095"/>
      <c r="P24" s="1095"/>
      <c r="Q24" s="1095"/>
      <c r="R24" s="1095"/>
    </row>
    <row r="25" spans="4:18" ht="21.75" customHeight="1">
      <c r="D25" s="1105" t="s">
        <v>774</v>
      </c>
      <c r="E25" s="1075">
        <f t="shared" ca="1" si="0"/>
        <v>59.090909090909079</v>
      </c>
      <c r="F25" s="1032"/>
      <c r="G25" s="1095"/>
      <c r="H25" s="1026">
        <f ca="1">'Container system'!H18</f>
        <v>59.090909090909079</v>
      </c>
      <c r="I25" s="1095"/>
      <c r="J25" s="1095"/>
      <c r="K25" s="1095" t="s">
        <v>723</v>
      </c>
      <c r="L25" s="1095"/>
      <c r="M25" s="1095"/>
      <c r="N25" s="1095"/>
      <c r="O25" s="1095"/>
      <c r="P25" s="1095"/>
      <c r="Q25" s="1095"/>
      <c r="R25" s="1095"/>
    </row>
    <row r="26" spans="4:18" ht="21.75" customHeight="1">
      <c r="D26" s="1067" t="s">
        <v>731</v>
      </c>
      <c r="E26" s="1075">
        <f t="shared" ca="1" si="0"/>
        <v>73.125</v>
      </c>
      <c r="F26" s="1032" t="s">
        <v>775</v>
      </c>
      <c r="G26" s="1095"/>
      <c r="H26" s="1026">
        <f ca="1">'Container system'!J18</f>
        <v>73.125</v>
      </c>
      <c r="I26" s="1095"/>
      <c r="J26" s="1095"/>
      <c r="K26" s="1095" t="s">
        <v>723</v>
      </c>
      <c r="L26" s="1095"/>
      <c r="M26" s="1095"/>
      <c r="N26" s="1095"/>
      <c r="O26" s="1095"/>
      <c r="P26" s="1095"/>
      <c r="Q26" s="1095"/>
      <c r="R26" s="1095"/>
    </row>
    <row r="27" spans="4:18" ht="21.75" customHeight="1" thickBot="1">
      <c r="D27" s="1069" t="s">
        <v>718</v>
      </c>
      <c r="E27" s="1076">
        <f t="shared" ca="1" si="0"/>
        <v>0.55000000000000004</v>
      </c>
      <c r="F27" s="1032"/>
      <c r="G27" s="1095"/>
      <c r="H27" s="1027">
        <f ca="1">OFFSET('AZA CyclesNbr'!K23,0,(opt_YearId-1)*6)</f>
        <v>0.55000000000000004</v>
      </c>
      <c r="I27" s="1095"/>
      <c r="J27" s="1102"/>
      <c r="K27" s="1095" t="s">
        <v>721</v>
      </c>
      <c r="L27" s="1095"/>
      <c r="M27" s="1095"/>
      <c r="N27" s="1095"/>
      <c r="O27" s="1095"/>
      <c r="P27" s="1095"/>
      <c r="Q27" s="1095"/>
      <c r="R27" s="1095"/>
    </row>
    <row r="28" spans="4:18">
      <c r="G28" s="1095"/>
      <c r="H28" s="1095"/>
      <c r="I28" s="1095"/>
      <c r="J28" s="1095"/>
      <c r="K28" s="1095"/>
      <c r="L28" s="1095"/>
      <c r="M28" s="1095"/>
      <c r="N28" s="1095"/>
      <c r="O28" s="1095"/>
      <c r="P28" s="1095"/>
      <c r="Q28" s="1095"/>
      <c r="R28" s="1095"/>
    </row>
    <row r="30" spans="4:18" ht="22" thickBot="1">
      <c r="E30" s="1531" t="s">
        <v>717</v>
      </c>
      <c r="F30" s="1531"/>
      <c r="G30" s="1531"/>
      <c r="H30" s="1531"/>
      <c r="I30" s="1531"/>
      <c r="J30" s="1531"/>
      <c r="K30" s="1531"/>
      <c r="L30" s="1531"/>
      <c r="M30" s="1531"/>
      <c r="N30" s="1531"/>
      <c r="O30" s="1531"/>
      <c r="P30" s="1531"/>
      <c r="Q30" s="1531"/>
    </row>
    <row r="31" spans="4:18" ht="17" thickBot="1">
      <c r="G31" s="1017">
        <v>2028</v>
      </c>
      <c r="H31" s="1018">
        <f t="shared" ref="H31:O31" si="1">G31+1</f>
        <v>2029</v>
      </c>
      <c r="I31" s="1018">
        <f t="shared" si="1"/>
        <v>2030</v>
      </c>
      <c r="J31" s="1018">
        <f t="shared" si="1"/>
        <v>2031</v>
      </c>
      <c r="K31" s="1018">
        <f t="shared" si="1"/>
        <v>2032</v>
      </c>
      <c r="L31" s="1018">
        <f t="shared" si="1"/>
        <v>2033</v>
      </c>
      <c r="M31" s="1018">
        <f t="shared" si="1"/>
        <v>2034</v>
      </c>
      <c r="N31" s="1018">
        <f t="shared" si="1"/>
        <v>2035</v>
      </c>
      <c r="O31" s="1018">
        <f t="shared" si="1"/>
        <v>2036</v>
      </c>
      <c r="P31" s="1018">
        <f>O31+1</f>
        <v>2037</v>
      </c>
      <c r="Q31" s="1077">
        <f>P31+1</f>
        <v>2038</v>
      </c>
    </row>
    <row r="32" spans="4:18">
      <c r="D32" s="1010" t="s">
        <v>752</v>
      </c>
      <c r="E32" s="1017" t="s">
        <v>753</v>
      </c>
      <c r="F32" s="1016"/>
      <c r="G32" s="1089">
        <f ca="1">E21</f>
        <v>520524.25943112595</v>
      </c>
      <c r="H32" s="1016"/>
      <c r="I32" s="1016"/>
      <c r="J32" s="1090"/>
      <c r="K32" s="1016"/>
      <c r="L32" s="1090"/>
      <c r="M32" s="1090"/>
      <c r="N32" s="1016"/>
      <c r="O32" s="1016"/>
      <c r="P32" s="1016"/>
      <c r="Q32" s="1015"/>
    </row>
    <row r="33" spans="4:18">
      <c r="D33" s="1010"/>
      <c r="E33" s="1012" t="s">
        <v>754</v>
      </c>
      <c r="G33" s="1083">
        <f ca="1">E22</f>
        <v>26132.94264125068</v>
      </c>
      <c r="J33" s="1014"/>
      <c r="L33" s="1014"/>
      <c r="M33" s="1014"/>
      <c r="Q33" s="1011"/>
    </row>
    <row r="34" spans="4:18">
      <c r="D34" s="1010"/>
      <c r="E34" s="1012" t="s">
        <v>755</v>
      </c>
      <c r="G34" s="1084"/>
      <c r="L34" s="1057">
        <f ca="1">E23</f>
        <v>208226.58721376405</v>
      </c>
      <c r="Q34" s="1011"/>
    </row>
    <row r="35" spans="4:18">
      <c r="D35" s="1078" t="s">
        <v>758</v>
      </c>
      <c r="E35" s="1012" t="s">
        <v>464</v>
      </c>
      <c r="F35" s="1094">
        <v>0.02</v>
      </c>
      <c r="G35" s="1083">
        <f ca="1">G32*F35</f>
        <v>10410.485188622519</v>
      </c>
      <c r="H35" s="1057">
        <f ca="1">G35</f>
        <v>10410.485188622519</v>
      </c>
      <c r="I35" s="1057">
        <f t="shared" ref="I35" ca="1" si="2">H35</f>
        <v>10410.485188622519</v>
      </c>
      <c r="J35" s="1057">
        <f t="shared" ref="J35" ca="1" si="3">I35</f>
        <v>10410.485188622519</v>
      </c>
      <c r="K35" s="1057">
        <f t="shared" ref="K35" ca="1" si="4">J35</f>
        <v>10410.485188622519</v>
      </c>
      <c r="L35" s="1057">
        <f t="shared" ref="L35" ca="1" si="5">K35</f>
        <v>10410.485188622519</v>
      </c>
      <c r="M35" s="1057">
        <f t="shared" ref="M35" ca="1" si="6">L35</f>
        <v>10410.485188622519</v>
      </c>
      <c r="N35" s="1057">
        <f t="shared" ref="N35" ca="1" si="7">M35</f>
        <v>10410.485188622519</v>
      </c>
      <c r="O35" s="1057">
        <f t="shared" ref="O35" ca="1" si="8">N35</f>
        <v>10410.485188622519</v>
      </c>
      <c r="P35" s="1057">
        <f t="shared" ref="P35" ca="1" si="9">O35</f>
        <v>10410.485188622519</v>
      </c>
      <c r="Q35" s="1085">
        <f t="shared" ref="Q35" ca="1" si="10">P35</f>
        <v>10410.485188622519</v>
      </c>
    </row>
    <row r="36" spans="4:18">
      <c r="D36" s="1081"/>
      <c r="E36" s="1019" t="s">
        <v>757</v>
      </c>
      <c r="F36" s="1058"/>
      <c r="G36" s="1086">
        <f ca="1">SUM(G32:G35)</f>
        <v>557067.68726099911</v>
      </c>
      <c r="H36" s="1082">
        <f t="shared" ref="H36:Q36" ca="1" si="11">SUM(H32:H35)</f>
        <v>10410.485188622519</v>
      </c>
      <c r="I36" s="1082">
        <f t="shared" ca="1" si="11"/>
        <v>10410.485188622519</v>
      </c>
      <c r="J36" s="1082">
        <f t="shared" ca="1" si="11"/>
        <v>10410.485188622519</v>
      </c>
      <c r="K36" s="1082">
        <f t="shared" ca="1" si="11"/>
        <v>10410.485188622519</v>
      </c>
      <c r="L36" s="1082">
        <f t="shared" ca="1" si="11"/>
        <v>218637.07240238658</v>
      </c>
      <c r="M36" s="1082">
        <f t="shared" ca="1" si="11"/>
        <v>10410.485188622519</v>
      </c>
      <c r="N36" s="1082">
        <f t="shared" ca="1" si="11"/>
        <v>10410.485188622519</v>
      </c>
      <c r="O36" s="1082">
        <f t="shared" ca="1" si="11"/>
        <v>10410.485188622519</v>
      </c>
      <c r="P36" s="1082">
        <f t="shared" ca="1" si="11"/>
        <v>10410.485188622519</v>
      </c>
      <c r="Q36" s="1087">
        <f t="shared" ca="1" si="11"/>
        <v>10410.485188622519</v>
      </c>
      <c r="R36" s="1059"/>
    </row>
    <row r="37" spans="4:18">
      <c r="D37" s="1079" t="s">
        <v>716</v>
      </c>
      <c r="E37" s="1012" t="s">
        <v>776</v>
      </c>
      <c r="G37" s="1088">
        <v>0.55000000000000004</v>
      </c>
      <c r="H37" s="1013">
        <v>0.55000000000000004</v>
      </c>
      <c r="I37" s="1013">
        <v>0.55000000000000004</v>
      </c>
      <c r="J37" s="1013">
        <v>0.55000000000000004</v>
      </c>
      <c r="K37" s="1013">
        <v>0.55000000000000004</v>
      </c>
      <c r="L37" s="1013">
        <v>0.55000000000000004</v>
      </c>
      <c r="M37" s="1013">
        <v>0.55000000000000004</v>
      </c>
      <c r="N37" s="1013">
        <v>0.55000000000000004</v>
      </c>
      <c r="O37" s="1013">
        <v>0.55000000000000004</v>
      </c>
      <c r="P37" s="1013">
        <v>0.55000000000000004</v>
      </c>
      <c r="Q37" s="1080">
        <v>0.55000000000000004</v>
      </c>
    </row>
    <row r="38" spans="4:18" s="1120" customFormat="1" ht="21.75" customHeight="1" thickBot="1">
      <c r="D38" s="1115" t="s">
        <v>756</v>
      </c>
      <c r="E38" s="1121" t="s">
        <v>783</v>
      </c>
      <c r="F38" s="1116"/>
      <c r="G38" s="1117">
        <f ca="1">$E$17</f>
        <v>-6.279195640763191E-2</v>
      </c>
      <c r="H38" s="1118">
        <f t="shared" ref="H38:Q38" ca="1" si="12">$E$17</f>
        <v>-6.279195640763191E-2</v>
      </c>
      <c r="I38" s="1118">
        <f t="shared" ca="1" si="12"/>
        <v>-6.279195640763191E-2</v>
      </c>
      <c r="J38" s="1118">
        <f t="shared" ca="1" si="12"/>
        <v>-6.279195640763191E-2</v>
      </c>
      <c r="K38" s="1118">
        <f t="shared" ca="1" si="12"/>
        <v>-6.279195640763191E-2</v>
      </c>
      <c r="L38" s="1118">
        <f t="shared" ca="1" si="12"/>
        <v>-6.279195640763191E-2</v>
      </c>
      <c r="M38" s="1118">
        <f t="shared" ca="1" si="12"/>
        <v>-6.279195640763191E-2</v>
      </c>
      <c r="N38" s="1118">
        <f t="shared" ca="1" si="12"/>
        <v>-6.279195640763191E-2</v>
      </c>
      <c r="O38" s="1118">
        <f t="shared" ca="1" si="12"/>
        <v>-6.279195640763191E-2</v>
      </c>
      <c r="P38" s="1118">
        <f t="shared" ca="1" si="12"/>
        <v>-6.279195640763191E-2</v>
      </c>
      <c r="Q38" s="1119">
        <f t="shared" ca="1" si="12"/>
        <v>-6.279195640763191E-2</v>
      </c>
    </row>
    <row r="39" spans="4:18" s="1108" customFormat="1" ht="23.25" customHeight="1" thickBot="1">
      <c r="D39" s="1107"/>
      <c r="E39" s="1111"/>
      <c r="F39" s="1112" t="s">
        <v>781</v>
      </c>
      <c r="G39" s="1110">
        <f ca="1">SUM(G36:Q36)</f>
        <v>869399.12636098813</v>
      </c>
      <c r="H39" s="1109"/>
      <c r="I39" s="1109"/>
      <c r="J39" s="1109"/>
      <c r="K39" s="1109"/>
      <c r="L39" s="1109"/>
      <c r="M39" s="1109"/>
      <c r="N39" s="1109"/>
      <c r="O39" s="1109"/>
      <c r="P39" s="1109"/>
    </row>
    <row r="40" spans="4:18">
      <c r="E40" s="1021" t="s">
        <v>715</v>
      </c>
    </row>
    <row r="41" spans="4:18" s="1113" customFormat="1">
      <c r="E41" s="1114" t="s">
        <v>814</v>
      </c>
    </row>
    <row r="42" spans="4:18" s="1113" customFormat="1">
      <c r="E42" s="1114" t="s">
        <v>815</v>
      </c>
    </row>
    <row r="43" spans="4:18" s="1113" customFormat="1">
      <c r="E43" s="1114" t="s">
        <v>782</v>
      </c>
    </row>
    <row r="44" spans="4:18">
      <c r="E44" s="1010"/>
    </row>
  </sheetData>
  <mergeCells count="4">
    <mergeCell ref="D3:P3"/>
    <mergeCell ref="D4:P4"/>
    <mergeCell ref="D6:F6"/>
    <mergeCell ref="E30:Q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666" r:id="rId3" name="Drop Down 2">
              <controlPr defaultSize="0" autoLine="0" autoPict="0">
                <anchor moveWithCells="1">
                  <from>
                    <xdr:col>7</xdr:col>
                    <xdr:colOff>76200</xdr:colOff>
                    <xdr:row>6</xdr:row>
                    <xdr:rowOff>63500</xdr:rowOff>
                  </from>
                  <to>
                    <xdr:col>8</xdr:col>
                    <xdr:colOff>927100</xdr:colOff>
                    <xdr:row>7</xdr:row>
                    <xdr:rowOff>63500</xdr:rowOff>
                  </to>
                </anchor>
              </controlPr>
            </control>
          </mc:Choice>
        </mc:AlternateContent>
        <mc:AlternateContent xmlns:mc="http://schemas.openxmlformats.org/markup-compatibility/2006">
          <mc:Choice Requires="x14">
            <control shapeId="113667" r:id="rId4" name="Drop Down 3">
              <controlPr defaultSize="0" autoLine="0" autoPict="0">
                <anchor moveWithCells="1">
                  <from>
                    <xdr:col>15</xdr:col>
                    <xdr:colOff>254000</xdr:colOff>
                    <xdr:row>5</xdr:row>
                    <xdr:rowOff>241300</xdr:rowOff>
                  </from>
                  <to>
                    <xdr:col>17</xdr:col>
                    <xdr:colOff>381000</xdr:colOff>
                    <xdr:row>6</xdr:row>
                    <xdr:rowOff>203200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C000"/>
  </sheetPr>
  <dimension ref="A1:AG111"/>
  <sheetViews>
    <sheetView topLeftCell="A2" zoomScale="90" zoomScaleNormal="90" workbookViewId="0">
      <pane xSplit="4" ySplit="5" topLeftCell="E34" activePane="bottomRight" state="frozenSplit"/>
      <selection activeCell="H35" sqref="H35"/>
      <selection pane="topRight" activeCell="H35" sqref="H35"/>
      <selection pane="bottomLeft" activeCell="H35" sqref="H35"/>
      <selection pane="bottomRight" activeCell="K42" sqref="K42"/>
    </sheetView>
  </sheetViews>
  <sheetFormatPr baseColWidth="10" defaultColWidth="8.83203125" defaultRowHeight="13"/>
  <cols>
    <col min="1" max="1" width="3" customWidth="1"/>
    <col min="2" max="2" width="4.1640625" customWidth="1"/>
    <col min="3" max="3" width="3.6640625" style="119" customWidth="1"/>
    <col min="4" max="4" width="34.5" customWidth="1"/>
    <col min="6" max="6" width="6.5" bestFit="1" customWidth="1"/>
    <col min="7" max="7" width="8.83203125" bestFit="1" customWidth="1"/>
    <col min="16" max="16" width="11.5" bestFit="1" customWidth="1"/>
    <col min="17" max="17" width="6.5" bestFit="1" customWidth="1"/>
    <col min="18" max="18" width="8.83203125" bestFit="1" customWidth="1"/>
  </cols>
  <sheetData>
    <row r="1" spans="1:31" ht="4.5" customHeight="1"/>
    <row r="2" spans="1:31" s="494" customFormat="1" ht="34.5" customHeight="1">
      <c r="A2" s="494" t="s">
        <v>427</v>
      </c>
      <c r="D2" s="495"/>
      <c r="E2" s="495"/>
      <c r="F2" s="495"/>
      <c r="G2" s="495"/>
      <c r="H2" s="495"/>
      <c r="I2" s="495"/>
      <c r="L2" s="495"/>
      <c r="O2" s="495"/>
    </row>
    <row r="3" spans="1:31" ht="19.5" customHeight="1">
      <c r="B3" s="969" t="s">
        <v>806</v>
      </c>
      <c r="C3" s="969"/>
      <c r="D3" s="969"/>
      <c r="E3" s="723"/>
      <c r="F3" s="723"/>
      <c r="G3" s="723"/>
      <c r="H3" s="1"/>
      <c r="I3" s="901" t="s">
        <v>745</v>
      </c>
      <c r="J3" s="407"/>
      <c r="K3" s="407"/>
      <c r="L3" s="407"/>
      <c r="O3" s="1"/>
    </row>
    <row r="4" spans="1:31" s="119" customFormat="1" ht="6" customHeight="1"/>
    <row r="5" spans="1:31" s="119" customFormat="1" ht="6" customHeight="1"/>
    <row r="6" spans="1:31">
      <c r="E6" s="1532" t="s">
        <v>396</v>
      </c>
      <c r="F6" s="1532"/>
      <c r="G6" s="1532"/>
      <c r="H6" s="1532"/>
      <c r="P6" s="1532" t="s">
        <v>950</v>
      </c>
      <c r="Q6" s="1532"/>
      <c r="R6" s="1532"/>
      <c r="S6" s="1532"/>
      <c r="V6" s="1532" t="s">
        <v>926</v>
      </c>
      <c r="W6" s="1532"/>
      <c r="X6" s="1532"/>
      <c r="Y6" s="1532"/>
      <c r="AB6" s="1532" t="s">
        <v>951</v>
      </c>
      <c r="AC6" s="1532"/>
      <c r="AD6" s="1532"/>
      <c r="AE6" s="1532"/>
    </row>
    <row r="8" spans="1:31">
      <c r="C8" s="119" t="s">
        <v>398</v>
      </c>
    </row>
    <row r="9" spans="1:31">
      <c r="D9" t="s">
        <v>406</v>
      </c>
      <c r="E9" s="412">
        <f>G9*feet2mm/1000</f>
        <v>12.2</v>
      </c>
      <c r="F9" s="412" t="s">
        <v>254</v>
      </c>
      <c r="G9" s="412">
        <v>40</v>
      </c>
      <c r="H9" t="s">
        <v>400</v>
      </c>
      <c r="P9" s="412">
        <f>R9*feet2mm/1000</f>
        <v>6.1</v>
      </c>
      <c r="Q9" s="412" t="s">
        <v>254</v>
      </c>
      <c r="R9" s="412">
        <v>20</v>
      </c>
      <c r="S9" t="s">
        <v>400</v>
      </c>
    </row>
    <row r="10" spans="1:31">
      <c r="D10" t="s">
        <v>407</v>
      </c>
      <c r="E10" s="412">
        <f>G10*feet2mm/1000</f>
        <v>2.44</v>
      </c>
      <c r="F10" s="412" t="s">
        <v>254</v>
      </c>
      <c r="G10" s="412">
        <v>8</v>
      </c>
      <c r="H10" t="s">
        <v>400</v>
      </c>
      <c r="P10" s="412">
        <f>R10*feet2mm/1000</f>
        <v>2.44</v>
      </c>
      <c r="Q10" s="412" t="s">
        <v>254</v>
      </c>
      <c r="R10" s="412">
        <v>8</v>
      </c>
      <c r="S10" t="s">
        <v>400</v>
      </c>
    </row>
    <row r="11" spans="1:31">
      <c r="D11" t="s">
        <v>408</v>
      </c>
      <c r="E11" s="412">
        <f>G11*feet2mm/1000</f>
        <v>2.6840000000000002</v>
      </c>
      <c r="F11" s="412" t="s">
        <v>254</v>
      </c>
      <c r="G11" s="412">
        <v>8.8000000000000007</v>
      </c>
      <c r="H11" t="s">
        <v>400</v>
      </c>
      <c r="P11" s="412">
        <f>R11*feet2mm/1000</f>
        <v>2.6840000000000002</v>
      </c>
      <c r="Q11" s="412" t="s">
        <v>254</v>
      </c>
      <c r="R11" s="412">
        <v>8.8000000000000007</v>
      </c>
      <c r="S11" t="s">
        <v>400</v>
      </c>
    </row>
    <row r="12" spans="1:31">
      <c r="D12" t="s">
        <v>19</v>
      </c>
      <c r="E12" s="71">
        <f>E11*E13</f>
        <v>79.897311999999999</v>
      </c>
      <c r="F12" s="412" t="s">
        <v>175</v>
      </c>
      <c r="P12" s="412">
        <f>P11*P13</f>
        <v>39.948656</v>
      </c>
      <c r="Q12" s="412" t="s">
        <v>175</v>
      </c>
    </row>
    <row r="13" spans="1:31">
      <c r="D13" t="s">
        <v>895</v>
      </c>
      <c r="E13" s="71">
        <f>E10*E9</f>
        <v>29.767999999999997</v>
      </c>
      <c r="F13" s="412" t="s">
        <v>92</v>
      </c>
      <c r="P13" s="71">
        <f>P10*P9</f>
        <v>14.883999999999999</v>
      </c>
      <c r="Q13" t="s">
        <v>92</v>
      </c>
    </row>
    <row r="14" spans="1:31">
      <c r="C14" s="119" t="s">
        <v>397</v>
      </c>
    </row>
    <row r="15" spans="1:31">
      <c r="D15" t="s">
        <v>258</v>
      </c>
      <c r="E15">
        <f>Packs!E34</f>
        <v>420</v>
      </c>
      <c r="F15" t="s">
        <v>255</v>
      </c>
      <c r="H15" s="1282">
        <f ca="1">E15*E16*E17/1000000</f>
        <v>22.847999999999999</v>
      </c>
      <c r="I15" s="1025" t="s">
        <v>263</v>
      </c>
      <c r="P15">
        <f t="shared" ref="P15:P20" si="0">E15</f>
        <v>420</v>
      </c>
      <c r="Q15" t="s">
        <v>255</v>
      </c>
    </row>
    <row r="16" spans="1:31">
      <c r="D16" t="s">
        <v>314</v>
      </c>
      <c r="E16">
        <f>Packs!E35</f>
        <v>170</v>
      </c>
      <c r="F16" t="s">
        <v>255</v>
      </c>
      <c r="P16">
        <f t="shared" si="0"/>
        <v>170</v>
      </c>
      <c r="Q16" t="s">
        <v>255</v>
      </c>
    </row>
    <row r="17" spans="3:20">
      <c r="D17" t="s">
        <v>259</v>
      </c>
      <c r="E17">
        <f ca="1">Packs!E36</f>
        <v>320</v>
      </c>
      <c r="F17" t="s">
        <v>255</v>
      </c>
      <c r="P17">
        <f t="shared" ca="1" si="0"/>
        <v>320</v>
      </c>
      <c r="Q17" t="s">
        <v>255</v>
      </c>
    </row>
    <row r="18" spans="3:20">
      <c r="D18" t="s">
        <v>16</v>
      </c>
      <c r="E18" s="1051">
        <f ca="1">Packs!E40</f>
        <v>1670.7599999999998</v>
      </c>
      <c r="F18" s="474" t="s">
        <v>160</v>
      </c>
      <c r="H18" s="1280">
        <f ca="1">E18/E19</f>
        <v>59.090909090909079</v>
      </c>
      <c r="I18" s="1025" t="s">
        <v>132</v>
      </c>
      <c r="J18" s="1281">
        <f ca="1">E18/H15</f>
        <v>73.125</v>
      </c>
      <c r="K18" s="1025" t="s">
        <v>386</v>
      </c>
      <c r="P18" s="1051">
        <f t="shared" ca="1" si="0"/>
        <v>1670.7599999999998</v>
      </c>
      <c r="Q18" s="474" t="s">
        <v>160</v>
      </c>
      <c r="S18" s="71">
        <f ca="1">P18/P19</f>
        <v>59.090909090909079</v>
      </c>
      <c r="T18" t="s">
        <v>132</v>
      </c>
    </row>
    <row r="19" spans="3:20">
      <c r="D19" t="s">
        <v>17</v>
      </c>
      <c r="E19" s="412">
        <f ca="1">Packs!E39</f>
        <v>28.2744</v>
      </c>
      <c r="F19" s="412" t="s">
        <v>131</v>
      </c>
      <c r="H19" s="1281">
        <f ca="1">E19/(E18/1000)</f>
        <v>16.923076923076923</v>
      </c>
      <c r="I19" s="1025" t="s">
        <v>714</v>
      </c>
      <c r="J19" s="1025"/>
      <c r="K19" s="1025"/>
      <c r="P19" s="412">
        <f t="shared" ca="1" si="0"/>
        <v>28.2744</v>
      </c>
      <c r="Q19" s="412" t="s">
        <v>131</v>
      </c>
    </row>
    <row r="20" spans="3:20">
      <c r="D20" t="s">
        <v>381</v>
      </c>
      <c r="E20" s="412">
        <f ca="1">Packs!E33</f>
        <v>12</v>
      </c>
      <c r="F20" s="412" t="s">
        <v>373</v>
      </c>
      <c r="P20" s="412">
        <f t="shared" ca="1" si="0"/>
        <v>12</v>
      </c>
      <c r="Q20" s="412" t="s">
        <v>373</v>
      </c>
    </row>
    <row r="21" spans="3:20">
      <c r="F21" s="412"/>
      <c r="Q21" s="412"/>
    </row>
    <row r="22" spans="3:20">
      <c r="C22" s="119" t="s">
        <v>403</v>
      </c>
      <c r="F22" s="412"/>
      <c r="Q22" s="412"/>
    </row>
    <row r="23" spans="3:20">
      <c r="D23" t="s">
        <v>399</v>
      </c>
    </row>
    <row r="24" spans="3:20">
      <c r="D24" t="s">
        <v>448</v>
      </c>
      <c r="E24">
        <v>20</v>
      </c>
      <c r="F24" t="s">
        <v>255</v>
      </c>
      <c r="H24" t="s">
        <v>404</v>
      </c>
      <c r="P24">
        <v>20</v>
      </c>
      <c r="Q24" t="s">
        <v>255</v>
      </c>
      <c r="S24" t="s">
        <v>404</v>
      </c>
    </row>
    <row r="25" spans="3:20">
      <c r="D25" t="s">
        <v>449</v>
      </c>
      <c r="E25">
        <v>80</v>
      </c>
      <c r="F25" t="s">
        <v>255</v>
      </c>
      <c r="G25">
        <f>(E10*1000-E31*E15-2*E25)/(E31-1)</f>
        <v>200</v>
      </c>
      <c r="H25" t="s">
        <v>451</v>
      </c>
      <c r="P25">
        <v>80</v>
      </c>
      <c r="Q25" t="s">
        <v>255</v>
      </c>
      <c r="R25">
        <f>(P10*1000-P31*P15-2*P25)/(P31-1)</f>
        <v>200</v>
      </c>
      <c r="S25" t="s">
        <v>409</v>
      </c>
    </row>
    <row r="26" spans="3:20">
      <c r="D26" t="s">
        <v>450</v>
      </c>
      <c r="E26" s="1050">
        <f ca="1">IF(opt_PVF_UPS="PVF",300,250)</f>
        <v>300</v>
      </c>
      <c r="F26" t="s">
        <v>255</v>
      </c>
      <c r="G26" s="1050">
        <f ca="1">IF(opt_PVF_UPS="PVF",100,70)</f>
        <v>100</v>
      </c>
      <c r="H26" t="s">
        <v>410</v>
      </c>
      <c r="P26" s="1050">
        <f ca="1">E26</f>
        <v>300</v>
      </c>
      <c r="Q26" t="s">
        <v>255</v>
      </c>
      <c r="R26" s="1050">
        <f ca="1">G26</f>
        <v>100</v>
      </c>
      <c r="S26" t="s">
        <v>410</v>
      </c>
    </row>
    <row r="28" spans="3:20">
      <c r="C28" s="119" t="s">
        <v>405</v>
      </c>
    </row>
    <row r="29" spans="3:20">
      <c r="D29" t="s">
        <v>861</v>
      </c>
      <c r="E29" s="502">
        <v>1200</v>
      </c>
      <c r="F29" t="s">
        <v>255</v>
      </c>
      <c r="H29" t="s">
        <v>452</v>
      </c>
      <c r="P29" s="502">
        <v>1000</v>
      </c>
      <c r="Q29" t="s">
        <v>255</v>
      </c>
    </row>
    <row r="30" spans="3:20">
      <c r="D30" t="s">
        <v>406</v>
      </c>
      <c r="E30">
        <f ca="1">FLOOR(G30,1)</f>
        <v>32</v>
      </c>
      <c r="F30" t="s">
        <v>256</v>
      </c>
      <c r="G30" s="964">
        <f ca="1">(E9-E29/1000)/((E17+E24)/1000)</f>
        <v>32.352941176470587</v>
      </c>
      <c r="H30" s="498" t="s">
        <v>712</v>
      </c>
      <c r="P30">
        <f ca="1">FLOOR(R30,1)</f>
        <v>15</v>
      </c>
      <c r="Q30" t="s">
        <v>256</v>
      </c>
      <c r="R30" s="412">
        <f ca="1">(P9-P29/1000)/((P17+P24)/1000)</f>
        <v>14.999999999999998</v>
      </c>
    </row>
    <row r="31" spans="3:20">
      <c r="D31" t="s">
        <v>407</v>
      </c>
      <c r="E31" s="502">
        <v>4</v>
      </c>
      <c r="F31" t="s">
        <v>256</v>
      </c>
      <c r="G31" s="964"/>
      <c r="H31" s="498"/>
      <c r="P31" s="502">
        <v>4</v>
      </c>
      <c r="Q31" t="s">
        <v>256</v>
      </c>
      <c r="R31" s="412"/>
    </row>
    <row r="32" spans="3:20">
      <c r="D32" t="s">
        <v>408</v>
      </c>
      <c r="E32" s="502">
        <v>7</v>
      </c>
      <c r="F32" t="s">
        <v>256</v>
      </c>
      <c r="G32" s="964">
        <f ca="1">(E11*1000-E26)/(E16+G26)</f>
        <v>8.8296296296296291</v>
      </c>
      <c r="H32" s="498" t="s">
        <v>712</v>
      </c>
      <c r="P32">
        <f ca="1">FLOOR(R32,1)</f>
        <v>8</v>
      </c>
      <c r="Q32" t="s">
        <v>256</v>
      </c>
      <c r="R32" s="412">
        <f ca="1">(P11*1000-P26)/(P16+R26)</f>
        <v>8.8296296296296291</v>
      </c>
    </row>
    <row r="34" spans="3:33">
      <c r="C34" s="119" t="s">
        <v>411</v>
      </c>
    </row>
    <row r="35" spans="3:33">
      <c r="D35" t="s">
        <v>412</v>
      </c>
      <c r="E35" s="456">
        <f ca="1">E32*E31*E30</f>
        <v>896</v>
      </c>
      <c r="F35" s="456" t="s">
        <v>256</v>
      </c>
      <c r="P35" s="456">
        <f ca="1">P32*P31*P30</f>
        <v>480</v>
      </c>
      <c r="Q35" s="456" t="s">
        <v>746</v>
      </c>
      <c r="R35" s="408" t="s">
        <v>747</v>
      </c>
    </row>
    <row r="36" spans="3:33">
      <c r="D36" t="s">
        <v>927</v>
      </c>
      <c r="E36" s="458">
        <f ca="1">E35*E19*(1+G36)/1000</f>
        <v>27.867248640000003</v>
      </c>
      <c r="F36" s="456" t="s">
        <v>206</v>
      </c>
      <c r="G36" s="410">
        <v>0.1</v>
      </c>
      <c r="H36" t="s">
        <v>413</v>
      </c>
      <c r="P36" s="458">
        <f ca="1">P35*P19*(1+R36)/1000</f>
        <v>14.9288832</v>
      </c>
      <c r="Q36" s="456" t="s">
        <v>206</v>
      </c>
      <c r="R36" s="410">
        <v>0.1</v>
      </c>
      <c r="S36" t="s">
        <v>413</v>
      </c>
      <c r="V36" s="458">
        <f ca="1">P36</f>
        <v>14.9288832</v>
      </c>
      <c r="W36" s="456" t="s">
        <v>206</v>
      </c>
      <c r="AB36" s="458">
        <f ca="1">V36</f>
        <v>14.9288832</v>
      </c>
      <c r="AC36" s="456" t="s">
        <v>206</v>
      </c>
    </row>
    <row r="37" spans="3:33">
      <c r="D37" t="s">
        <v>19</v>
      </c>
      <c r="E37" s="71">
        <f>E12</f>
        <v>79.897311999999999</v>
      </c>
      <c r="F37" t="s">
        <v>175</v>
      </c>
      <c r="G37" s="410"/>
      <c r="P37" s="1371">
        <f>P12</f>
        <v>39.948656</v>
      </c>
      <c r="Q37" s="584" t="s">
        <v>175</v>
      </c>
      <c r="R37" s="410"/>
      <c r="V37" s="1371">
        <f>P37</f>
        <v>39.948656</v>
      </c>
      <c r="W37" s="584" t="s">
        <v>175</v>
      </c>
      <c r="AB37" s="1371">
        <f>V37</f>
        <v>39.948656</v>
      </c>
      <c r="AC37" s="584" t="s">
        <v>175</v>
      </c>
    </row>
    <row r="38" spans="3:33">
      <c r="D38" t="s">
        <v>596</v>
      </c>
      <c r="E38" s="411">
        <f ca="1">E36/E37</f>
        <v>0.34878831267815374</v>
      </c>
      <c r="F38" t="s">
        <v>264</v>
      </c>
      <c r="G38" s="410"/>
      <c r="P38" s="411">
        <f ca="1">P36/P37</f>
        <v>0.37370176358373608</v>
      </c>
      <c r="Q38" t="s">
        <v>264</v>
      </c>
      <c r="R38" s="410"/>
      <c r="AA38" s="410"/>
      <c r="AG38" s="410"/>
    </row>
    <row r="39" spans="3:33">
      <c r="D39" t="s">
        <v>913</v>
      </c>
      <c r="E39" s="71">
        <f ca="1">E18*E35/1000</f>
        <v>1497.0009599999996</v>
      </c>
      <c r="F39" t="s">
        <v>266</v>
      </c>
      <c r="P39" s="71">
        <f ca="1">P18*P35/1000</f>
        <v>801.96479999999997</v>
      </c>
      <c r="Q39" t="s">
        <v>266</v>
      </c>
      <c r="V39" s="71">
        <f ca="1">V40*V36</f>
        <v>1940.7548159999999</v>
      </c>
      <c r="W39" t="s">
        <v>266</v>
      </c>
      <c r="AB39" s="71">
        <f ca="1">AB40*AB36</f>
        <v>477.72426239999999</v>
      </c>
      <c r="AC39" t="s">
        <v>266</v>
      </c>
    </row>
    <row r="40" spans="3:33">
      <c r="D40" t="s">
        <v>597</v>
      </c>
      <c r="E40" s="71">
        <f ca="1">E39/E36</f>
        <v>53.719008264462794</v>
      </c>
      <c r="F40" t="s">
        <v>132</v>
      </c>
      <c r="P40" s="71">
        <f ca="1">P39/P36</f>
        <v>53.719008264462808</v>
      </c>
      <c r="Q40" t="s">
        <v>132</v>
      </c>
      <c r="V40" s="464">
        <v>130</v>
      </c>
      <c r="W40" t="s">
        <v>132</v>
      </c>
      <c r="AB40" s="464">
        <f>AD40*40</f>
        <v>32</v>
      </c>
      <c r="AC40" t="s">
        <v>132</v>
      </c>
      <c r="AD40" s="410">
        <v>0.8</v>
      </c>
      <c r="AE40" t="s">
        <v>943</v>
      </c>
    </row>
    <row r="41" spans="3:33">
      <c r="D41" t="s">
        <v>598</v>
      </c>
      <c r="E41" s="71">
        <f ca="1">E39/E37</f>
        <v>18.73656225130577</v>
      </c>
      <c r="F41" t="s">
        <v>386</v>
      </c>
      <c r="P41" s="71">
        <f ca="1">P39/P37</f>
        <v>20.074888126399046</v>
      </c>
      <c r="Q41" t="s">
        <v>386</v>
      </c>
      <c r="V41" s="71">
        <f ca="1">V39/V37</f>
        <v>48.581229265885689</v>
      </c>
      <c r="W41" t="s">
        <v>386</v>
      </c>
      <c r="AB41" s="71">
        <f ca="1">AB39/AB37</f>
        <v>11.958456434679555</v>
      </c>
      <c r="AC41" t="s">
        <v>386</v>
      </c>
    </row>
    <row r="42" spans="3:33">
      <c r="D42" t="s">
        <v>878</v>
      </c>
      <c r="E42" s="71">
        <f ca="1">E39/J42</f>
        <v>299.40019199999995</v>
      </c>
      <c r="F42" t="s">
        <v>354</v>
      </c>
      <c r="J42" s="1187">
        <v>5</v>
      </c>
      <c r="K42" s="1187" t="s">
        <v>809</v>
      </c>
      <c r="L42" s="1025"/>
      <c r="M42" s="1187"/>
      <c r="N42" s="1025"/>
      <c r="P42" s="71">
        <f ca="1">P39/J42</f>
        <v>160.39295999999999</v>
      </c>
      <c r="Q42" t="s">
        <v>354</v>
      </c>
    </row>
    <row r="43" spans="3:33">
      <c r="D43" t="s">
        <v>879</v>
      </c>
      <c r="E43" s="71">
        <f ca="1">E39*'Standalone-PV-Station-5kW'!$E$74/'Standalone-PV-Station-5kW'!$E$76</f>
        <v>160.39295999999996</v>
      </c>
      <c r="F43" t="s">
        <v>354</v>
      </c>
      <c r="P43" s="71">
        <f ca="1">P39/CONT_max_disch_h</f>
        <v>133.66079999999999</v>
      </c>
      <c r="Q43" t="s">
        <v>354</v>
      </c>
      <c r="R43" s="455">
        <v>6</v>
      </c>
      <c r="S43" t="s">
        <v>944</v>
      </c>
      <c r="V43" s="71">
        <f ca="1">V39/CONT_max_disch_h</f>
        <v>323.459136</v>
      </c>
      <c r="W43" t="s">
        <v>354</v>
      </c>
      <c r="AB43" s="71">
        <f ca="1">AB39/CONT_max_disch_h</f>
        <v>79.620710399999993</v>
      </c>
      <c r="AC43" t="s">
        <v>354</v>
      </c>
    </row>
    <row r="44" spans="3:33">
      <c r="D44" t="s">
        <v>381</v>
      </c>
      <c r="E44" s="71">
        <f ca="1">E35*E20</f>
        <v>10752</v>
      </c>
      <c r="F44" t="s">
        <v>256</v>
      </c>
      <c r="P44" s="71">
        <f ca="1">P35*P20</f>
        <v>5760</v>
      </c>
      <c r="Q44" t="s">
        <v>256</v>
      </c>
    </row>
    <row r="45" spans="3:33">
      <c r="E45" s="1052">
        <f ca="1">E41*E11</f>
        <v>50.288933082504691</v>
      </c>
      <c r="F45" s="456" t="s">
        <v>808</v>
      </c>
      <c r="P45" s="1052">
        <f ca="1">P41*P11</f>
        <v>53.880999731255038</v>
      </c>
      <c r="Q45" s="456" t="s">
        <v>808</v>
      </c>
      <c r="AA45" s="6"/>
      <c r="AG45" s="6"/>
    </row>
    <row r="46" spans="3:33">
      <c r="C46" s="119" t="s">
        <v>414</v>
      </c>
      <c r="G46" s="476" t="s">
        <v>425</v>
      </c>
      <c r="R46" s="476" t="s">
        <v>425</v>
      </c>
      <c r="X46" s="476" t="s">
        <v>425</v>
      </c>
      <c r="AA46" s="6"/>
      <c r="AD46" s="476" t="s">
        <v>425</v>
      </c>
      <c r="AG46" s="6"/>
    </row>
    <row r="47" spans="3:33">
      <c r="D47" t="s">
        <v>829</v>
      </c>
      <c r="E47" s="412">
        <f ca="1">E39*H47/1000</f>
        <v>55.146132421631982</v>
      </c>
      <c r="F47" t="s">
        <v>200</v>
      </c>
      <c r="G47" s="475">
        <f t="shared" ref="G47:G55" ca="1" si="1">E47/E$55</f>
        <v>0.70770457894823902</v>
      </c>
      <c r="H47" s="1007">
        <f ca="1">Packs!$E54/'DropDown menus'!$L$9</f>
        <v>36.837740185304888</v>
      </c>
      <c r="I47" s="1008" t="s">
        <v>1</v>
      </c>
      <c r="J47" s="1022" t="s">
        <v>729</v>
      </c>
      <c r="K47" s="1023">
        <f ca="1">Packs!G48</f>
        <v>26.064199999999996</v>
      </c>
      <c r="L47" s="1024" t="s">
        <v>730</v>
      </c>
      <c r="M47" s="1025"/>
      <c r="N47" s="1025"/>
      <c r="P47" s="412">
        <f ca="1">P39*S47/1000</f>
        <v>29.542570940159997</v>
      </c>
      <c r="Q47" t="s">
        <v>200</v>
      </c>
      <c r="R47" s="475">
        <f t="shared" ref="R47:R55" ca="1" si="2">P47/P$55</f>
        <v>0.65390796613456048</v>
      </c>
      <c r="S47" s="1007">
        <f ca="1">Packs!$E54/'DropDown menus'!$L$9</f>
        <v>36.837740185304888</v>
      </c>
      <c r="T47" s="1008" t="s">
        <v>1</v>
      </c>
      <c r="V47" s="412">
        <f ca="1">V39*Y47/1000</f>
        <v>176.56304944663668</v>
      </c>
      <c r="W47" t="s">
        <v>200</v>
      </c>
      <c r="X47" s="475">
        <f t="shared" ref="X47:X55" ca="1" si="3">V47/V$55</f>
        <v>0.87488904973228832</v>
      </c>
      <c r="Y47" s="1007">
        <f ca="1">OFFSET('Cells Cost'!C23,opt_year-2022,0)</f>
        <v>90.976483990153199</v>
      </c>
      <c r="Z47" s="1008" t="s">
        <v>1</v>
      </c>
      <c r="AA47" s="6"/>
      <c r="AB47" s="412">
        <f ca="1">AB39*AE47/1000</f>
        <v>37.028672396443682</v>
      </c>
      <c r="AC47" t="s">
        <v>200</v>
      </c>
      <c r="AD47" s="475">
        <f t="shared" ref="AD47:AD50" ca="1" si="4">AB47/AB$55</f>
        <v>0.74410942284899928</v>
      </c>
      <c r="AE47" s="1007">
        <f ca="1">OFFSET('Cells Cost'!U23,opt_year-2022,0)</f>
        <v>77.510554331945272</v>
      </c>
      <c r="AF47" s="1008" t="s">
        <v>1</v>
      </c>
      <c r="AG47" s="6"/>
    </row>
    <row r="48" spans="3:33">
      <c r="D48" t="s">
        <v>426</v>
      </c>
      <c r="E48" s="412">
        <f ca="1">E47*H48</f>
        <v>4.4116905937305591</v>
      </c>
      <c r="F48" t="s">
        <v>200</v>
      </c>
      <c r="G48" s="475">
        <f t="shared" ca="1" si="1"/>
        <v>5.6616366315859125E-2</v>
      </c>
      <c r="H48" s="410">
        <v>0.08</v>
      </c>
      <c r="P48" s="412">
        <f ca="1">P47*S48</f>
        <v>2.3634056752127997</v>
      </c>
      <c r="Q48" t="s">
        <v>200</v>
      </c>
      <c r="R48" s="475">
        <f t="shared" ca="1" si="2"/>
        <v>5.2312637290764838E-2</v>
      </c>
      <c r="S48" s="410">
        <v>0.08</v>
      </c>
      <c r="V48" s="465">
        <f ca="1">P48</f>
        <v>2.3634056752127997</v>
      </c>
      <c r="W48" t="s">
        <v>200</v>
      </c>
      <c r="X48" s="475">
        <f t="shared" ca="1" si="3"/>
        <v>1.1710931317731673E-2</v>
      </c>
      <c r="Y48" s="410"/>
      <c r="AA48" s="6"/>
      <c r="AB48" s="465">
        <f ca="1">V48</f>
        <v>2.3634056752127997</v>
      </c>
      <c r="AC48" t="s">
        <v>200</v>
      </c>
      <c r="AD48" s="475">
        <f t="shared" ca="1" si="4"/>
        <v>4.7493801941155982E-2</v>
      </c>
      <c r="AE48" s="410"/>
      <c r="AG48" s="6"/>
    </row>
    <row r="49" spans="2:33">
      <c r="D49" t="s">
        <v>828</v>
      </c>
      <c r="E49" s="412">
        <f ca="1">E43*CONT_BoS_pkWp/1000</f>
        <v>3.2078591999999988</v>
      </c>
      <c r="F49" t="s">
        <v>200</v>
      </c>
      <c r="G49" s="475">
        <f t="shared" ca="1" si="1"/>
        <v>4.1167286712036108E-2</v>
      </c>
      <c r="H49" s="465">
        <v>20</v>
      </c>
      <c r="I49" s="1209" t="s">
        <v>499</v>
      </c>
      <c r="J49" s="1210">
        <v>0.03</v>
      </c>
      <c r="K49" s="1211" t="s">
        <v>830</v>
      </c>
      <c r="L49" s="1211"/>
      <c r="M49" s="1211"/>
      <c r="N49" s="771"/>
      <c r="P49" s="412">
        <f ca="1">P43*CONT_BoS_pkWp/1000</f>
        <v>2.673216</v>
      </c>
      <c r="Q49" t="s">
        <v>200</v>
      </c>
      <c r="R49" s="475">
        <f t="shared" ca="1" si="2"/>
        <v>5.9170112213290611E-2</v>
      </c>
      <c r="V49" s="412">
        <f ca="1">V43*CONT_BoS_pkWp/1000</f>
        <v>6.4691827200000001</v>
      </c>
      <c r="W49" t="s">
        <v>200</v>
      </c>
      <c r="X49" s="475">
        <f t="shared" ca="1" si="3"/>
        <v>3.2055501647619243E-2</v>
      </c>
      <c r="Y49" s="410"/>
      <c r="AA49" s="6"/>
      <c r="AB49" s="412">
        <f ca="1">AB43*CONT_BoS_pkWp/1000</f>
        <v>1.5924142079999999</v>
      </c>
      <c r="AC49" t="s">
        <v>200</v>
      </c>
      <c r="AD49" s="475">
        <f t="shared" ca="1" si="4"/>
        <v>3.2000348393944299E-2</v>
      </c>
      <c r="AE49" s="410"/>
      <c r="AG49" s="6"/>
    </row>
    <row r="50" spans="2:33">
      <c r="D50" t="s">
        <v>398</v>
      </c>
      <c r="E50" s="412">
        <v>5</v>
      </c>
      <c r="F50" t="s">
        <v>200</v>
      </c>
      <c r="G50" s="475">
        <f t="shared" ca="1" si="1"/>
        <v>6.4166293071772171E-2</v>
      </c>
      <c r="P50" s="412">
        <v>4</v>
      </c>
      <c r="Q50" t="s">
        <v>200</v>
      </c>
      <c r="R50" s="475">
        <f t="shared" ca="1" si="2"/>
        <v>8.8537719680400848E-2</v>
      </c>
      <c r="V50" s="412">
        <v>4</v>
      </c>
      <c r="W50" t="s">
        <v>200</v>
      </c>
      <c r="X50" s="475">
        <f t="shared" ca="1" si="3"/>
        <v>1.9820433606561817E-2</v>
      </c>
      <c r="AA50" s="6"/>
      <c r="AB50" s="412">
        <v>4</v>
      </c>
      <c r="AC50" t="s">
        <v>200</v>
      </c>
      <c r="AD50" s="475">
        <f t="shared" ca="1" si="4"/>
        <v>8.0381971557853121E-2</v>
      </c>
      <c r="AG50" s="6"/>
    </row>
    <row r="51" spans="2:33">
      <c r="D51" t="s">
        <v>810</v>
      </c>
      <c r="E51" s="1188">
        <f ca="1">IF(opt_PVF_UPS="UPS",2,0)</f>
        <v>0</v>
      </c>
      <c r="F51" t="s">
        <v>200</v>
      </c>
      <c r="G51" s="475">
        <f t="shared" ref="G51" ca="1" si="5">E51/E$55</f>
        <v>0</v>
      </c>
      <c r="P51" s="1188">
        <f ca="1">IF(opt_PVF_UPS="UPS",2,0)</f>
        <v>0</v>
      </c>
      <c r="Q51" t="s">
        <v>200</v>
      </c>
      <c r="R51" s="475">
        <f t="shared" ca="1" si="2"/>
        <v>0</v>
      </c>
      <c r="V51" s="1316"/>
      <c r="X51" s="475"/>
      <c r="AA51" s="6"/>
      <c r="AB51" s="1316"/>
      <c r="AD51" s="475"/>
      <c r="AG51" s="6"/>
    </row>
    <row r="52" spans="2:33" ht="15">
      <c r="D52" t="s">
        <v>428</v>
      </c>
      <c r="E52" s="1188">
        <f ca="1">IF(opt_PVF_UPS="UPS",0,H52*J52/1000)</f>
        <v>2.3911647002451297</v>
      </c>
      <c r="F52" t="s">
        <v>200</v>
      </c>
      <c r="G52" s="475">
        <f t="shared" ca="1" si="1"/>
        <v>3.0686434987761049E-2</v>
      </c>
      <c r="H52" s="71">
        <f ca="1">E39*Packs!$G61</f>
        <v>298.89558753064119</v>
      </c>
      <c r="I52" t="s">
        <v>175</v>
      </c>
      <c r="J52" s="1212">
        <v>8</v>
      </c>
      <c r="K52" s="1212" t="s">
        <v>424</v>
      </c>
      <c r="L52" s="1025"/>
      <c r="M52" s="1025"/>
      <c r="N52" s="1025"/>
      <c r="P52" s="1188">
        <f ca="1">IF(opt_PVF_UPS="UPS",0,S52*J52/1000)</f>
        <v>1.2809810894170339</v>
      </c>
      <c r="Q52" t="s">
        <v>200</v>
      </c>
      <c r="R52" s="475">
        <f t="shared" ca="1" si="2"/>
        <v>2.8353786152674962E-2</v>
      </c>
      <c r="S52" s="71">
        <f ca="1">P39*Packs!$G61</f>
        <v>160.12263617712924</v>
      </c>
      <c r="T52" t="s">
        <v>175</v>
      </c>
      <c r="V52" s="1188"/>
      <c r="X52" s="475"/>
      <c r="Y52" s="71"/>
      <c r="AA52" s="6"/>
      <c r="AB52" s="1188"/>
      <c r="AD52" s="475"/>
      <c r="AE52" s="71"/>
      <c r="AG52" s="6"/>
    </row>
    <row r="53" spans="2:33">
      <c r="D53" t="s">
        <v>882</v>
      </c>
      <c r="E53" s="1300">
        <v>0.75</v>
      </c>
      <c r="F53" t="s">
        <v>200</v>
      </c>
      <c r="G53" s="475">
        <f t="shared" ca="1" si="1"/>
        <v>9.6249439607658249E-3</v>
      </c>
      <c r="H53" s="71"/>
      <c r="J53" s="1025" t="s">
        <v>881</v>
      </c>
      <c r="K53" s="1212"/>
      <c r="L53" s="1025"/>
      <c r="M53" s="1025"/>
      <c r="N53" s="1025"/>
      <c r="P53" s="1316">
        <v>0.8</v>
      </c>
      <c r="Q53" s="455" t="s">
        <v>200</v>
      </c>
      <c r="R53" s="475">
        <f t="shared" ca="1" si="2"/>
        <v>1.7707543936080171E-2</v>
      </c>
      <c r="S53" s="71"/>
      <c r="V53" s="1316">
        <v>6</v>
      </c>
      <c r="W53" t="s">
        <v>200</v>
      </c>
      <c r="X53" s="475">
        <f t="shared" ca="1" si="3"/>
        <v>2.9730650409842723E-2</v>
      </c>
      <c r="Y53" s="71"/>
      <c r="AA53" s="6"/>
      <c r="AB53" s="1316">
        <v>0.8</v>
      </c>
      <c r="AC53" s="455" t="s">
        <v>200</v>
      </c>
      <c r="AD53" s="475">
        <f t="shared" ref="AD53:AD55" ca="1" si="6">AB53/AB$55</f>
        <v>1.6076394311570624E-2</v>
      </c>
      <c r="AE53" s="71"/>
      <c r="AG53" s="6"/>
    </row>
    <row r="54" spans="2:33">
      <c r="D54" t="s">
        <v>423</v>
      </c>
      <c r="E54" s="412">
        <f ca="1">SUM(E47:E52)*H54</f>
        <v>7.015684691560768</v>
      </c>
      <c r="F54" t="s">
        <v>200</v>
      </c>
      <c r="G54" s="475">
        <f t="shared" ca="1" si="1"/>
        <v>9.0034096003566752E-2</v>
      </c>
      <c r="H54" s="410">
        <v>0.1</v>
      </c>
      <c r="P54" s="412">
        <f ca="1">SUM(P48:P50)*S54</f>
        <v>4.5183108376063998</v>
      </c>
      <c r="Q54" t="s">
        <v>200</v>
      </c>
      <c r="R54" s="475">
        <f t="shared" ca="1" si="2"/>
        <v>0.10001023459222814</v>
      </c>
      <c r="S54" s="1372">
        <v>0.5</v>
      </c>
      <c r="V54" s="412">
        <f ca="1">SUM(V48:V50)*Y54</f>
        <v>6.4162941976063994</v>
      </c>
      <c r="W54" t="s">
        <v>200</v>
      </c>
      <c r="X54" s="475">
        <f t="shared" ca="1" si="3"/>
        <v>3.1793433285956366E-2</v>
      </c>
      <c r="Y54" s="1372">
        <v>0.5</v>
      </c>
      <c r="AA54" s="6"/>
      <c r="AB54" s="412">
        <f ca="1">SUM(AB48:AB50)*AE54</f>
        <v>3.9779099416063999</v>
      </c>
      <c r="AC54" t="s">
        <v>200</v>
      </c>
      <c r="AD54" s="475">
        <f t="shared" ca="1" si="6"/>
        <v>7.9938060946476708E-2</v>
      </c>
      <c r="AE54" s="1372">
        <v>0.5</v>
      </c>
      <c r="AG54" s="6"/>
    </row>
    <row r="55" spans="2:33">
      <c r="C55" s="119" t="s">
        <v>457</v>
      </c>
      <c r="E55" s="474">
        <f ca="1">SUM(E47:E54)</f>
        <v>77.922531607168438</v>
      </c>
      <c r="F55" s="119" t="s">
        <v>200</v>
      </c>
      <c r="G55" s="475">
        <f t="shared" ca="1" si="1"/>
        <v>1</v>
      </c>
      <c r="P55" s="474">
        <f ca="1">SUM(P47:P54)</f>
        <v>45.178484542396227</v>
      </c>
      <c r="Q55" s="119" t="s">
        <v>200</v>
      </c>
      <c r="R55" s="475">
        <f t="shared" ca="1" si="2"/>
        <v>1</v>
      </c>
      <c r="V55" s="474">
        <f ca="1">SUM(V47:V54)</f>
        <v>201.81193203945585</v>
      </c>
      <c r="W55" s="119" t="s">
        <v>200</v>
      </c>
      <c r="X55" s="475">
        <f t="shared" ca="1" si="3"/>
        <v>1</v>
      </c>
      <c r="AA55" s="6"/>
      <c r="AB55" s="474">
        <f ca="1">SUM(AB47:AB54)</f>
        <v>49.762402221262882</v>
      </c>
      <c r="AC55" s="119" t="s">
        <v>200</v>
      </c>
      <c r="AD55" s="475">
        <f t="shared" ca="1" si="6"/>
        <v>1</v>
      </c>
      <c r="AG55" s="6"/>
    </row>
    <row r="56" spans="2:33">
      <c r="E56" s="468">
        <f ca="1">E55/E$39*1000</f>
        <v>52.052425943112596</v>
      </c>
      <c r="F56" s="467" t="s">
        <v>1</v>
      </c>
      <c r="P56" s="468">
        <f ca="1">P55/P39*1000</f>
        <v>56.334747538041853</v>
      </c>
      <c r="Q56" s="467" t="s">
        <v>1</v>
      </c>
      <c r="V56" s="468">
        <f ca="1">V55/V39*1000</f>
        <v>103.98631005610544</v>
      </c>
      <c r="W56" s="467" t="s">
        <v>1</v>
      </c>
      <c r="AA56" s="6"/>
      <c r="AB56" s="468">
        <f ca="1">AB55/AB39*1000</f>
        <v>104.16553258414301</v>
      </c>
      <c r="AC56" s="467" t="s">
        <v>1</v>
      </c>
      <c r="AG56" s="6"/>
    </row>
    <row r="57" spans="2:33">
      <c r="D57" t="s">
        <v>415</v>
      </c>
      <c r="E57" s="412">
        <f ca="1">H57*E43/1000</f>
        <v>3.3532320189923306</v>
      </c>
      <c r="F57" t="s">
        <v>200</v>
      </c>
      <c r="G57" s="475">
        <f ca="1">E57/E$55</f>
        <v>4.3032893693662436E-2</v>
      </c>
      <c r="H57" s="1389">
        <f ca="1">'TCO Solar Farm-Containers'!$N$94*(1-Inverter_cost_ydecr)^(opt_year-2019)</f>
        <v>20.906354113000543</v>
      </c>
      <c r="I57" s="698" t="s">
        <v>499</v>
      </c>
      <c r="J57" s="716">
        <f>Inverter_cost_ydecr</f>
        <v>0.03</v>
      </c>
      <c r="K57" s="698" t="s">
        <v>591</v>
      </c>
      <c r="L57" s="771"/>
      <c r="M57" s="771"/>
      <c r="N57" s="771"/>
      <c r="P57" s="412">
        <f ca="1">S57*P43/1000</f>
        <v>2.7943600158269426</v>
      </c>
      <c r="Q57" t="s">
        <v>200</v>
      </c>
      <c r="R57" s="475">
        <f ca="1">P57/P$55</f>
        <v>6.185156594185158E-2</v>
      </c>
      <c r="S57" s="1389">
        <f ca="1">'TCO Solar Farm-Containers'!$N$94*(1-Inverter_cost_ydecr)^(opt_year-2019)</f>
        <v>20.906354113000543</v>
      </c>
      <c r="T57" s="698" t="s">
        <v>499</v>
      </c>
      <c r="V57" s="412">
        <f ca="1">Y57*V43/1000</f>
        <v>6.7623512383012017</v>
      </c>
      <c r="W57" t="s">
        <v>200</v>
      </c>
      <c r="X57" s="475">
        <f ca="1">V57/V$55</f>
        <v>3.3508183435750009E-2</v>
      </c>
      <c r="Y57" s="1389">
        <f ca="1">'TCO Solar Farm-Containers'!$N$94*(1-Inverter_cost_ydecr)^(opt_year-2019)</f>
        <v>20.906354113000543</v>
      </c>
      <c r="Z57" s="698" t="s">
        <v>499</v>
      </c>
      <c r="AA57" s="6"/>
      <c r="AB57" s="412">
        <f ca="1">AE57*AB43/1000</f>
        <v>1.6645787663510649</v>
      </c>
      <c r="AC57" t="s">
        <v>200</v>
      </c>
      <c r="AD57" s="475">
        <f ca="1">AB57/AB$55</f>
        <v>3.3450530763159382E-2</v>
      </c>
      <c r="AE57" s="1389">
        <f ca="1">'TCO Solar Farm-Containers'!$N$94*(1-Inverter_cost_ydecr)^(opt_year-2019)</f>
        <v>20.906354113000543</v>
      </c>
      <c r="AF57" s="698" t="s">
        <v>499</v>
      </c>
      <c r="AG57" s="6"/>
    </row>
    <row r="58" spans="2:33">
      <c r="C58" s="119" t="s">
        <v>456</v>
      </c>
      <c r="E58" s="474">
        <f ca="1">E57+E55</f>
        <v>81.275763626160767</v>
      </c>
      <c r="F58" s="119" t="s">
        <v>200</v>
      </c>
      <c r="G58" s="475">
        <f ca="1">E58/E$55</f>
        <v>1.0430328936936624</v>
      </c>
      <c r="P58" s="474">
        <f ca="1">P57+P55</f>
        <v>47.972844558223173</v>
      </c>
      <c r="Q58" s="119" t="s">
        <v>200</v>
      </c>
      <c r="R58" s="475">
        <f ca="1">P58/P$55</f>
        <v>1.0618515659418517</v>
      </c>
      <c r="V58" s="474">
        <f ca="1">V57+V55</f>
        <v>208.57428327775705</v>
      </c>
      <c r="W58" s="119" t="s">
        <v>200</v>
      </c>
      <c r="X58" s="475">
        <f ca="1">V58/V$55</f>
        <v>1.03350818343575</v>
      </c>
      <c r="AA58" s="6"/>
      <c r="AB58" s="474">
        <f ca="1">AB57+AB55</f>
        <v>51.426980987613945</v>
      </c>
      <c r="AC58" s="119" t="s">
        <v>200</v>
      </c>
      <c r="AD58" s="475">
        <f ca="1">AB58/AB$55</f>
        <v>1.0334505307631594</v>
      </c>
      <c r="AG58" s="6"/>
    </row>
    <row r="59" spans="2:33">
      <c r="E59" s="458">
        <f ca="1">E58/E$39*1000</f>
        <v>54.292392455219797</v>
      </c>
      <c r="F59" s="456" t="s">
        <v>1</v>
      </c>
      <c r="P59" s="458">
        <f ca="1">P58/P$39*1000</f>
        <v>59.819139890208618</v>
      </c>
      <c r="Q59" s="456" t="s">
        <v>1</v>
      </c>
      <c r="V59" s="458">
        <f ca="1">V58/V$39*1000</f>
        <v>107.47070240827219</v>
      </c>
      <c r="W59" s="456" t="s">
        <v>1</v>
      </c>
      <c r="AA59" s="6"/>
      <c r="AB59" s="458">
        <f ca="1">AB58/AB$39*1000</f>
        <v>107.64992493630976</v>
      </c>
      <c r="AC59" s="456" t="s">
        <v>1</v>
      </c>
      <c r="AG59" s="6"/>
    </row>
    <row r="60" spans="2:33" s="6" customFormat="1" ht="17.25" customHeight="1">
      <c r="C60" s="491"/>
      <c r="I60" s="409"/>
      <c r="J60" s="1055">
        <f ca="1">(P59-E59)/E59</f>
        <v>0.10179598255035943</v>
      </c>
      <c r="K60" s="1056" t="s">
        <v>862</v>
      </c>
      <c r="L60" s="1056"/>
      <c r="M60" s="910"/>
      <c r="N60" s="910"/>
      <c r="O60" s="910"/>
      <c r="P60" s="910"/>
    </row>
    <row r="61" spans="2:33" s="6" customFormat="1" ht="7.5" customHeight="1">
      <c r="C61" s="491"/>
    </row>
    <row r="62" spans="2:33" s="6" customFormat="1" ht="20.25" customHeight="1">
      <c r="B62" s="901" t="str">
        <f>'DropDown menus'!L3</f>
        <v>AZA Perfs (Costs &amp; SceLife)</v>
      </c>
      <c r="C62" s="899"/>
      <c r="D62" s="900"/>
    </row>
    <row r="63" spans="2:33" s="6" customFormat="1" ht="7.5" customHeight="1">
      <c r="C63" s="491"/>
    </row>
    <row r="64" spans="2:33" s="6" customFormat="1" ht="20.25" customHeight="1">
      <c r="B64" s="901" t="str">
        <f>'DropDown menus'!$AI$3</f>
        <v>AZA ZAB energy eff.</v>
      </c>
      <c r="C64" s="899"/>
      <c r="D64" s="900"/>
    </row>
    <row r="65" spans="3:33">
      <c r="AA65" s="6"/>
      <c r="AG65" s="6"/>
    </row>
    <row r="66" spans="3:33">
      <c r="C66" s="1054"/>
      <c r="D66" s="1054" t="s">
        <v>832</v>
      </c>
      <c r="E66" s="1532" t="s">
        <v>812</v>
      </c>
      <c r="F66" s="1532"/>
      <c r="G66" s="1532"/>
      <c r="H66" s="1532"/>
      <c r="I66" s="1532" t="s">
        <v>863</v>
      </c>
      <c r="J66" s="1532"/>
      <c r="K66" s="1532"/>
      <c r="L66" s="1532"/>
      <c r="M66" s="1532"/>
      <c r="N66" s="1532"/>
      <c r="O66" s="1532"/>
      <c r="P66" s="1532" t="s">
        <v>811</v>
      </c>
      <c r="Q66" s="1532"/>
      <c r="R66" s="1532"/>
      <c r="S66" s="1532"/>
      <c r="AA66" s="6"/>
      <c r="AG66" s="6"/>
    </row>
    <row r="67" spans="3:33">
      <c r="F67" s="536" t="s">
        <v>5</v>
      </c>
      <c r="G67" s="536">
        <f>'DropDown menus'!U11</f>
        <v>2023</v>
      </c>
      <c r="H67" s="536">
        <f>'DropDown menus'!U12</f>
        <v>2028</v>
      </c>
      <c r="Q67" s="536" t="s">
        <v>5</v>
      </c>
      <c r="R67" s="536">
        <f>G67</f>
        <v>2023</v>
      </c>
      <c r="S67" s="536">
        <f>H67</f>
        <v>2028</v>
      </c>
      <c r="AA67" s="6"/>
      <c r="AG67" s="6"/>
    </row>
    <row r="68" spans="3:33" s="119" customFormat="1">
      <c r="D68" s="119" t="str">
        <f>'DropDown menus'!$AI$3</f>
        <v>AZA ZAB energy eff.</v>
      </c>
      <c r="E68" s="837">
        <v>0.5</v>
      </c>
      <c r="F68" s="536"/>
      <c r="P68" s="837">
        <v>0.5</v>
      </c>
      <c r="Q68" s="536"/>
      <c r="AA68" s="6"/>
      <c r="AG68" s="6"/>
    </row>
    <row r="69" spans="3:33">
      <c r="D69" s="914" t="str">
        <f>'DropDown menus'!$L$3</f>
        <v>AZA Perfs (Costs &amp; SceLife)</v>
      </c>
      <c r="E69" s="918">
        <v>0.8</v>
      </c>
      <c r="F69" s="952" t="s">
        <v>1</v>
      </c>
      <c r="G69" s="579">
        <v>77.993124001160837</v>
      </c>
      <c r="H69" s="579">
        <v>65.233201290255337</v>
      </c>
      <c r="P69" s="918">
        <v>0.8</v>
      </c>
      <c r="Q69" s="952" t="s">
        <v>1</v>
      </c>
      <c r="R69" s="579">
        <v>55.278689803933005</v>
      </c>
      <c r="S69" s="579">
        <v>45.846516493778957</v>
      </c>
      <c r="AA69" s="6"/>
      <c r="AG69" s="6"/>
    </row>
    <row r="70" spans="3:33">
      <c r="D70" s="914" t="str">
        <f>'DropDown menus'!$L$3</f>
        <v>AZA Perfs (Costs &amp; SceLife)</v>
      </c>
      <c r="E70" s="918">
        <v>0.9</v>
      </c>
      <c r="F70" s="952" t="s">
        <v>1</v>
      </c>
      <c r="G70" s="579">
        <v>70.538070515746824</v>
      </c>
      <c r="H70" s="579">
        <v>59.154974159680037</v>
      </c>
      <c r="P70" s="918">
        <v>0.9</v>
      </c>
      <c r="Q70" s="952" t="s">
        <v>1</v>
      </c>
      <c r="R70" s="579">
        <v>50.569059237249931</v>
      </c>
      <c r="S70" s="579">
        <v>42.121216328927829</v>
      </c>
      <c r="AA70" s="6"/>
      <c r="AG70" s="6"/>
    </row>
    <row r="71" spans="3:33">
      <c r="D71" s="914" t="str">
        <f>'DropDown menus'!$L$3</f>
        <v>AZA Perfs (Costs &amp; SceLife)</v>
      </c>
      <c r="E71" s="918">
        <v>1</v>
      </c>
      <c r="F71" s="952" t="s">
        <v>1</v>
      </c>
      <c r="G71" s="579">
        <v>64.574027727415611</v>
      </c>
      <c r="H71" s="579">
        <v>54.292392455219797</v>
      </c>
      <c r="P71" s="918">
        <v>1</v>
      </c>
      <c r="Q71" s="952" t="s">
        <v>1</v>
      </c>
      <c r="R71" s="579">
        <v>46.801354783903477</v>
      </c>
      <c r="S71" s="579">
        <v>39.140976197046932</v>
      </c>
      <c r="AA71" s="6"/>
      <c r="AG71" s="6"/>
    </row>
    <row r="72" spans="3:33">
      <c r="D72" s="914" t="str">
        <f>'DropDown menus'!$L$3</f>
        <v>AZA Perfs (Costs &amp; SceLife)</v>
      </c>
      <c r="E72" s="918">
        <v>1.1000000000000001</v>
      </c>
      <c r="F72" s="952" t="s">
        <v>1</v>
      </c>
      <c r="G72" s="579">
        <v>59.694356355144599</v>
      </c>
      <c r="H72" s="579">
        <v>50.313916515206863</v>
      </c>
      <c r="P72" s="918">
        <v>1.1000000000000001</v>
      </c>
      <c r="Q72" s="952" t="s">
        <v>1</v>
      </c>
      <c r="R72" s="579">
        <v>43.718687503892752</v>
      </c>
      <c r="S72" s="579">
        <v>36.702597907326187</v>
      </c>
      <c r="AA72" s="6"/>
      <c r="AG72" s="6"/>
    </row>
    <row r="73" spans="3:33">
      <c r="D73" s="914" t="str">
        <f>'DropDown menus'!$L$3</f>
        <v>AZA Perfs (Costs &amp; SceLife)</v>
      </c>
      <c r="E73" s="918">
        <v>1.2</v>
      </c>
      <c r="F73" s="952" t="s">
        <v>1</v>
      </c>
      <c r="G73" s="579">
        <v>55.627963544918785</v>
      </c>
      <c r="H73" s="579">
        <v>46.99851989852943</v>
      </c>
      <c r="P73" s="918">
        <v>1.2</v>
      </c>
      <c r="Q73" s="952" t="s">
        <v>1</v>
      </c>
      <c r="R73" s="579">
        <v>41.149798103883803</v>
      </c>
      <c r="S73" s="579">
        <v>34.670615999225582</v>
      </c>
    </row>
    <row r="74" spans="3:33">
      <c r="D74" s="914"/>
      <c r="E74" s="917"/>
      <c r="F74" s="917"/>
      <c r="G74" s="916"/>
      <c r="H74" s="916"/>
      <c r="P74" s="918"/>
      <c r="Q74" s="917"/>
      <c r="R74" s="916"/>
      <c r="S74" s="916"/>
    </row>
    <row r="75" spans="3:33" s="119" customFormat="1">
      <c r="D75" s="119" t="str">
        <f>'DropDown menus'!$AI$3</f>
        <v>AZA ZAB energy eff.</v>
      </c>
      <c r="E75" s="1216">
        <v>0.55000000000000004</v>
      </c>
      <c r="F75" s="536"/>
      <c r="P75" s="1216">
        <v>0.55000000000000004</v>
      </c>
      <c r="Q75" s="536"/>
      <c r="R75" s="915"/>
      <c r="S75" s="915"/>
      <c r="AA75"/>
      <c r="AG75"/>
    </row>
    <row r="76" spans="3:33">
      <c r="D76" s="914" t="str">
        <f>'DropDown menus'!$L$3</f>
        <v>AZA Perfs (Costs &amp; SceLife)</v>
      </c>
      <c r="E76" s="918">
        <v>0.8</v>
      </c>
      <c r="F76" s="952" t="s">
        <v>1</v>
      </c>
      <c r="G76" s="579">
        <v>77.993124001160837</v>
      </c>
      <c r="H76" s="579">
        <v>65.233201290255337</v>
      </c>
      <c r="P76" s="918">
        <v>0.8</v>
      </c>
      <c r="Q76" s="952" t="s">
        <v>1</v>
      </c>
      <c r="R76" s="579">
        <v>55.278689803933005</v>
      </c>
      <c r="S76" s="579">
        <v>45.846516493778957</v>
      </c>
    </row>
    <row r="77" spans="3:33">
      <c r="D77" s="914" t="str">
        <f>'DropDown menus'!$L$3</f>
        <v>AZA Perfs (Costs &amp; SceLife)</v>
      </c>
      <c r="E77" s="918">
        <v>0.9</v>
      </c>
      <c r="F77" s="952" t="s">
        <v>1</v>
      </c>
      <c r="G77" s="579">
        <v>70.538070515746824</v>
      </c>
      <c r="H77" s="579">
        <v>59.154974159680037</v>
      </c>
      <c r="P77" s="918">
        <v>0.9</v>
      </c>
      <c r="Q77" s="952" t="s">
        <v>1</v>
      </c>
      <c r="R77" s="579">
        <v>50.569059237249931</v>
      </c>
      <c r="S77" s="579">
        <v>42.121216328927829</v>
      </c>
    </row>
    <row r="78" spans="3:33">
      <c r="D78" s="914" t="str">
        <f>'DropDown menus'!$L$3</f>
        <v>AZA Perfs (Costs &amp; SceLife)</v>
      </c>
      <c r="E78" s="1213">
        <v>1</v>
      </c>
      <c r="F78" s="1214" t="s">
        <v>1</v>
      </c>
      <c r="G78" s="1215">
        <v>64.574027727415611</v>
      </c>
      <c r="H78" s="1217">
        <v>54.292392455219797</v>
      </c>
      <c r="P78" s="1213">
        <v>1</v>
      </c>
      <c r="Q78" s="1214" t="s">
        <v>1</v>
      </c>
      <c r="R78" s="1215">
        <v>46.801354783903477</v>
      </c>
      <c r="S78" s="1217">
        <v>39.140976197046932</v>
      </c>
    </row>
    <row r="79" spans="3:33">
      <c r="D79" s="914" t="str">
        <f>'DropDown menus'!$L$3</f>
        <v>AZA Perfs (Costs &amp; SceLife)</v>
      </c>
      <c r="E79" s="918">
        <v>1.1000000000000001</v>
      </c>
      <c r="F79" s="952" t="s">
        <v>1</v>
      </c>
      <c r="G79" s="579">
        <v>59.694356355144599</v>
      </c>
      <c r="H79" s="579">
        <v>50.313916515206863</v>
      </c>
      <c r="P79" s="918">
        <v>1.1000000000000001</v>
      </c>
      <c r="Q79" s="952" t="s">
        <v>1</v>
      </c>
      <c r="R79" s="579">
        <v>43.718687503892752</v>
      </c>
      <c r="S79" s="579">
        <v>36.702597907326187</v>
      </c>
    </row>
    <row r="80" spans="3:33">
      <c r="D80" s="914" t="str">
        <f>'DropDown menus'!$L$3</f>
        <v>AZA Perfs (Costs &amp; SceLife)</v>
      </c>
      <c r="E80" s="918">
        <v>1.2</v>
      </c>
      <c r="F80" s="952" t="s">
        <v>1</v>
      </c>
      <c r="G80" s="579">
        <v>55.627963544918785</v>
      </c>
      <c r="H80" s="579">
        <v>46.99851989852943</v>
      </c>
      <c r="P80" s="918">
        <v>1.2</v>
      </c>
      <c r="Q80" s="952" t="s">
        <v>1</v>
      </c>
      <c r="R80" s="579">
        <v>41.149798103883803</v>
      </c>
      <c r="S80" s="579">
        <v>34.670615999225582</v>
      </c>
    </row>
    <row r="81" spans="3:33">
      <c r="D81" s="914"/>
      <c r="E81" s="914"/>
      <c r="F81" s="914"/>
      <c r="G81" s="914"/>
      <c r="H81" s="914"/>
      <c r="P81" s="918"/>
      <c r="Q81" s="917"/>
      <c r="R81" s="916"/>
      <c r="S81" s="916"/>
    </row>
    <row r="82" spans="3:33" s="119" customFormat="1">
      <c r="D82" s="119" t="str">
        <f>'DropDown menus'!$AI$3</f>
        <v>AZA ZAB energy eff.</v>
      </c>
      <c r="E82" s="837">
        <v>0.6</v>
      </c>
      <c r="F82" s="536"/>
      <c r="G82" s="915"/>
      <c r="H82" s="915"/>
      <c r="P82" s="837">
        <v>0.6</v>
      </c>
      <c r="Q82" s="536"/>
      <c r="R82" s="915"/>
      <c r="S82" s="915"/>
      <c r="AA82"/>
      <c r="AG82"/>
    </row>
    <row r="83" spans="3:33">
      <c r="D83" s="914" t="str">
        <f>'DropDown menus'!$L$3</f>
        <v>AZA Perfs (Costs &amp; SceLife)</v>
      </c>
      <c r="E83" s="918">
        <v>0.8</v>
      </c>
      <c r="F83" s="952" t="s">
        <v>1</v>
      </c>
      <c r="G83" s="579">
        <v>77.993124001160837</v>
      </c>
      <c r="H83" s="579">
        <v>65.233201290255337</v>
      </c>
      <c r="P83" s="918">
        <v>0.8</v>
      </c>
      <c r="Q83" s="952" t="s">
        <v>1</v>
      </c>
      <c r="R83" s="579">
        <v>55.278689803933005</v>
      </c>
      <c r="S83" s="579">
        <v>45.846516493778957</v>
      </c>
    </row>
    <row r="84" spans="3:33">
      <c r="D84" s="914" t="str">
        <f>'DropDown menus'!$L$3</f>
        <v>AZA Perfs (Costs &amp; SceLife)</v>
      </c>
      <c r="E84" s="918">
        <v>0.9</v>
      </c>
      <c r="F84" s="952" t="s">
        <v>1</v>
      </c>
      <c r="G84" s="579">
        <v>70.538070515746824</v>
      </c>
      <c r="H84" s="579">
        <v>59.154974159680037</v>
      </c>
      <c r="P84" s="918">
        <v>0.9</v>
      </c>
      <c r="Q84" s="952" t="s">
        <v>1</v>
      </c>
      <c r="R84" s="579">
        <v>50.569059237249931</v>
      </c>
      <c r="S84" s="579">
        <v>42.121216328927829</v>
      </c>
    </row>
    <row r="85" spans="3:33">
      <c r="D85" s="914" t="str">
        <f>'DropDown menus'!$L$3</f>
        <v>AZA Perfs (Costs &amp; SceLife)</v>
      </c>
      <c r="E85" s="918">
        <v>1</v>
      </c>
      <c r="F85" s="952" t="s">
        <v>1</v>
      </c>
      <c r="G85" s="579">
        <v>64.574027727415611</v>
      </c>
      <c r="H85" s="579">
        <v>54.292392455219797</v>
      </c>
      <c r="P85" s="918">
        <v>1</v>
      </c>
      <c r="Q85" s="952" t="s">
        <v>1</v>
      </c>
      <c r="R85" s="579">
        <v>46.801354783903477</v>
      </c>
      <c r="S85" s="579">
        <v>39.140976197046932</v>
      </c>
    </row>
    <row r="86" spans="3:33">
      <c r="D86" s="914" t="str">
        <f>'DropDown menus'!$L$3</f>
        <v>AZA Perfs (Costs &amp; SceLife)</v>
      </c>
      <c r="E86" s="918">
        <v>1.1000000000000001</v>
      </c>
      <c r="F86" s="952" t="s">
        <v>1</v>
      </c>
      <c r="G86" s="579">
        <v>59.694356355144599</v>
      </c>
      <c r="H86" s="579">
        <v>50.313916515206863</v>
      </c>
      <c r="P86" s="918">
        <v>1.1000000000000001</v>
      </c>
      <c r="Q86" s="952" t="s">
        <v>1</v>
      </c>
      <c r="R86" s="579">
        <v>43.718687503892752</v>
      </c>
      <c r="S86" s="579">
        <v>36.702597907326187</v>
      </c>
    </row>
    <row r="87" spans="3:33">
      <c r="D87" s="914" t="str">
        <f>'DropDown menus'!$L$3</f>
        <v>AZA Perfs (Costs &amp; SceLife)</v>
      </c>
      <c r="E87" s="918">
        <v>1.2</v>
      </c>
      <c r="F87" s="952" t="s">
        <v>1</v>
      </c>
      <c r="G87" s="579">
        <v>55.627963544918785</v>
      </c>
      <c r="H87" s="579">
        <v>46.99851989852943</v>
      </c>
      <c r="P87" s="918">
        <v>1.2</v>
      </c>
      <c r="Q87" s="952" t="s">
        <v>1</v>
      </c>
      <c r="R87" s="579">
        <v>41.149798103883803</v>
      </c>
      <c r="S87" s="579">
        <v>34.670615999225582</v>
      </c>
    </row>
    <row r="89" spans="3:33" s="119" customFormat="1">
      <c r="C89" s="1054"/>
      <c r="D89" s="1054" t="s">
        <v>673</v>
      </c>
      <c r="E89" s="1532" t="s">
        <v>812</v>
      </c>
      <c r="F89" s="1532"/>
      <c r="G89" s="1532"/>
      <c r="H89" s="1532"/>
      <c r="I89" s="1054"/>
      <c r="J89" s="1054"/>
      <c r="K89" s="1054"/>
      <c r="L89" s="1054"/>
      <c r="M89" s="1054"/>
      <c r="N89" s="1054"/>
      <c r="O89" s="1054"/>
      <c r="P89" s="1532" t="s">
        <v>811</v>
      </c>
      <c r="Q89" s="1532"/>
      <c r="R89" s="1532"/>
      <c r="S89" s="1532"/>
    </row>
    <row r="90" spans="3:33" s="119" customFormat="1">
      <c r="D90" s="119" t="str">
        <f>'DropDown menus'!$AI$3</f>
        <v>AZA ZAB energy eff.</v>
      </c>
      <c r="E90" s="837">
        <v>0.5</v>
      </c>
      <c r="F90" s="536"/>
      <c r="G90" s="915"/>
      <c r="H90" s="915"/>
      <c r="P90" s="837">
        <v>0.5</v>
      </c>
      <c r="Q90" s="536"/>
      <c r="R90" s="915"/>
      <c r="S90" s="915"/>
    </row>
    <row r="91" spans="3:33">
      <c r="D91" s="914" t="str">
        <f>'DropDown menus'!$L$3</f>
        <v>AZA Perfs (Costs &amp; SceLife)</v>
      </c>
      <c r="E91" s="918">
        <v>0.8</v>
      </c>
      <c r="F91" s="952" t="s">
        <v>1</v>
      </c>
      <c r="G91" s="579">
        <v>75.384671971696548</v>
      </c>
      <c r="H91" s="579">
        <v>62.993234778148135</v>
      </c>
      <c r="P91" s="918">
        <v>0.8</v>
      </c>
      <c r="Q91" s="952" t="s">
        <v>1</v>
      </c>
      <c r="R91" s="579">
        <v>51.221097758099667</v>
      </c>
      <c r="S91" s="579">
        <v>42.362124141612199</v>
      </c>
    </row>
    <row r="92" spans="3:33">
      <c r="D92" s="914" t="str">
        <f>'DropDown menus'!$L$3</f>
        <v>AZA Perfs (Costs &amp; SceLife)</v>
      </c>
      <c r="E92" s="918">
        <v>0.9</v>
      </c>
      <c r="F92" s="952" t="s">
        <v>1</v>
      </c>
      <c r="G92" s="579">
        <v>67.929618486282536</v>
      </c>
      <c r="H92" s="579">
        <v>56.915007647572843</v>
      </c>
      <c r="P92" s="918">
        <v>0.9</v>
      </c>
      <c r="Q92" s="952" t="s">
        <v>1</v>
      </c>
      <c r="R92" s="579">
        <v>46.511467191416607</v>
      </c>
      <c r="S92" s="579">
        <v>38.636823976761086</v>
      </c>
    </row>
    <row r="93" spans="3:33">
      <c r="D93" s="914" t="str">
        <f>'DropDown menus'!$L$3</f>
        <v>AZA Perfs (Costs &amp; SceLife)</v>
      </c>
      <c r="E93" s="918">
        <v>1</v>
      </c>
      <c r="F93" s="952" t="s">
        <v>1</v>
      </c>
      <c r="G93" s="579">
        <v>61.965575697951323</v>
      </c>
      <c r="H93" s="579">
        <v>52.052425943112596</v>
      </c>
      <c r="P93" s="918">
        <v>1</v>
      </c>
      <c r="Q93" s="952" t="s">
        <v>1</v>
      </c>
      <c r="R93" s="579">
        <v>42.743762738070153</v>
      </c>
      <c r="S93" s="579">
        <v>35.656583844880181</v>
      </c>
    </row>
    <row r="94" spans="3:33">
      <c r="D94" s="914" t="str">
        <f>'DropDown menus'!$L$3</f>
        <v>AZA Perfs (Costs &amp; SceLife)</v>
      </c>
      <c r="E94" s="918">
        <v>1.1000000000000001</v>
      </c>
      <c r="F94" s="952" t="s">
        <v>1</v>
      </c>
      <c r="G94" s="579">
        <v>57.085904325680318</v>
      </c>
      <c r="H94" s="579">
        <v>48.073950003099661</v>
      </c>
      <c r="P94" s="918">
        <v>1.1000000000000001</v>
      </c>
      <c r="Q94" s="952" t="s">
        <v>1</v>
      </c>
      <c r="R94" s="579">
        <v>39.661095458059421</v>
      </c>
      <c r="S94" s="579">
        <v>33.218205555159436</v>
      </c>
    </row>
    <row r="95" spans="3:33">
      <c r="D95" s="914" t="str">
        <f>'DropDown menus'!$L$3</f>
        <v>AZA Perfs (Costs &amp; SceLife)</v>
      </c>
      <c r="E95" s="918">
        <v>1.2</v>
      </c>
      <c r="F95" s="952" t="s">
        <v>1</v>
      </c>
      <c r="G95" s="579">
        <v>53.019511515454496</v>
      </c>
      <c r="H95" s="579">
        <v>44.758553386422228</v>
      </c>
      <c r="P95" s="918">
        <v>1.2</v>
      </c>
      <c r="Q95" s="952" t="s">
        <v>1</v>
      </c>
      <c r="R95" s="579">
        <v>37.092206058050472</v>
      </c>
      <c r="S95" s="579">
        <v>31.186223647058824</v>
      </c>
    </row>
    <row r="96" spans="3:33">
      <c r="D96" s="914"/>
      <c r="E96" s="918"/>
      <c r="F96" s="917"/>
      <c r="G96" s="916"/>
      <c r="H96" s="916"/>
      <c r="P96" s="918"/>
      <c r="Q96" s="917"/>
      <c r="R96" s="916"/>
      <c r="S96" s="916"/>
    </row>
    <row r="97" spans="3:19" s="119" customFormat="1">
      <c r="D97" s="119" t="str">
        <f>'DropDown menus'!$AI$3</f>
        <v>AZA ZAB energy eff.</v>
      </c>
      <c r="E97" s="1216">
        <v>0.55000000000000004</v>
      </c>
      <c r="F97" s="536"/>
      <c r="G97" s="915"/>
      <c r="H97" s="915"/>
      <c r="P97" s="1216">
        <v>0.55000000000000004</v>
      </c>
      <c r="Q97" s="536"/>
      <c r="R97" s="915"/>
      <c r="S97" s="915"/>
    </row>
    <row r="98" spans="3:19">
      <c r="D98" s="914" t="str">
        <f>'DropDown menus'!$L$3</f>
        <v>AZA Perfs (Costs &amp; SceLife)</v>
      </c>
      <c r="E98" s="918">
        <v>0.8</v>
      </c>
      <c r="F98" s="952" t="s">
        <v>1</v>
      </c>
      <c r="G98" s="579">
        <v>75.384671971696548</v>
      </c>
      <c r="H98" s="579">
        <v>62.993234778148135</v>
      </c>
      <c r="P98" s="918">
        <v>0.8</v>
      </c>
      <c r="Q98" s="952" t="s">
        <v>1</v>
      </c>
      <c r="R98" s="579">
        <v>51.221097758099667</v>
      </c>
      <c r="S98" s="579">
        <v>42.362124141612199</v>
      </c>
    </row>
    <row r="99" spans="3:19">
      <c r="D99" s="914" t="str">
        <f>'DropDown menus'!$L$3</f>
        <v>AZA Perfs (Costs &amp; SceLife)</v>
      </c>
      <c r="E99" s="918">
        <v>0.9</v>
      </c>
      <c r="F99" s="952" t="s">
        <v>1</v>
      </c>
      <c r="G99" s="579">
        <v>67.929618486282536</v>
      </c>
      <c r="H99" s="579">
        <v>56.915007647572843</v>
      </c>
      <c r="P99" s="918">
        <v>0.9</v>
      </c>
      <c r="Q99" s="952" t="s">
        <v>1</v>
      </c>
      <c r="R99" s="579">
        <v>46.511467191416607</v>
      </c>
      <c r="S99" s="579">
        <v>38.636823976761086</v>
      </c>
    </row>
    <row r="100" spans="3:19">
      <c r="D100" s="914" t="str">
        <f>'DropDown menus'!$L$3</f>
        <v>AZA Perfs (Costs &amp; SceLife)</v>
      </c>
      <c r="E100" s="1213">
        <v>1</v>
      </c>
      <c r="F100" s="1214" t="s">
        <v>1</v>
      </c>
      <c r="G100" s="1215">
        <v>61.965575697951323</v>
      </c>
      <c r="H100" s="1217">
        <v>52.052425943112596</v>
      </c>
      <c r="P100" s="1213">
        <v>1</v>
      </c>
      <c r="Q100" s="1214" t="s">
        <v>1</v>
      </c>
      <c r="R100" s="1215">
        <v>42.743762738070153</v>
      </c>
      <c r="S100" s="1217">
        <v>35.656583844880181</v>
      </c>
    </row>
    <row r="101" spans="3:19">
      <c r="D101" s="914" t="str">
        <f>'DropDown menus'!$L$3</f>
        <v>AZA Perfs (Costs &amp; SceLife)</v>
      </c>
      <c r="E101" s="918">
        <v>1.1000000000000001</v>
      </c>
      <c r="F101" s="952" t="s">
        <v>1</v>
      </c>
      <c r="G101" s="579">
        <v>57.085904325680318</v>
      </c>
      <c r="H101" s="579">
        <v>48.073950003099661</v>
      </c>
      <c r="P101" s="918">
        <v>1.1000000000000001</v>
      </c>
      <c r="Q101" s="952" t="s">
        <v>1</v>
      </c>
      <c r="R101" s="579">
        <v>39.661095458059421</v>
      </c>
      <c r="S101" s="579">
        <v>33.218205555159436</v>
      </c>
    </row>
    <row r="102" spans="3:19">
      <c r="D102" s="914" t="str">
        <f>'DropDown menus'!$L$3</f>
        <v>AZA Perfs (Costs &amp; SceLife)</v>
      </c>
      <c r="E102" s="918">
        <v>1.2</v>
      </c>
      <c r="F102" s="952" t="s">
        <v>1</v>
      </c>
      <c r="G102" s="579">
        <v>53.019511515454496</v>
      </c>
      <c r="H102" s="579">
        <v>44.758553386422228</v>
      </c>
      <c r="P102" s="918">
        <v>1.2</v>
      </c>
      <c r="Q102" s="952" t="s">
        <v>1</v>
      </c>
      <c r="R102" s="579">
        <v>37.092206058050472</v>
      </c>
      <c r="S102" s="579">
        <v>31.186223647058824</v>
      </c>
    </row>
    <row r="103" spans="3:19">
      <c r="D103" s="914"/>
      <c r="E103" s="918"/>
      <c r="F103" s="914"/>
      <c r="G103" s="916"/>
      <c r="H103" s="916"/>
      <c r="P103" s="918"/>
      <c r="Q103" s="917"/>
      <c r="R103" s="916"/>
      <c r="S103" s="916"/>
    </row>
    <row r="104" spans="3:19" s="119" customFormat="1">
      <c r="D104" s="119" t="str">
        <f>'DropDown menus'!$AI$3</f>
        <v>AZA ZAB energy eff.</v>
      </c>
      <c r="E104" s="837">
        <v>0.6</v>
      </c>
      <c r="F104" s="536"/>
      <c r="G104" s="915"/>
      <c r="H104" s="915"/>
      <c r="P104" s="837">
        <v>0.6</v>
      </c>
      <c r="Q104" s="536"/>
      <c r="R104" s="915"/>
      <c r="S104" s="915"/>
    </row>
    <row r="105" spans="3:19">
      <c r="D105" s="914" t="str">
        <f>'DropDown menus'!$L$3</f>
        <v>AZA Perfs (Costs &amp; SceLife)</v>
      </c>
      <c r="E105" s="918">
        <v>0.8</v>
      </c>
      <c r="F105" s="952" t="s">
        <v>1</v>
      </c>
      <c r="G105" s="579">
        <v>75.384671971696548</v>
      </c>
      <c r="H105" s="579">
        <v>62.993234778148135</v>
      </c>
      <c r="P105" s="918">
        <v>0.8</v>
      </c>
      <c r="Q105" s="952" t="s">
        <v>1</v>
      </c>
      <c r="R105" s="579">
        <v>51.221097758099667</v>
      </c>
      <c r="S105" s="579">
        <v>42.362124141612199</v>
      </c>
    </row>
    <row r="106" spans="3:19">
      <c r="D106" s="914" t="str">
        <f>'DropDown menus'!$L$3</f>
        <v>AZA Perfs (Costs &amp; SceLife)</v>
      </c>
      <c r="E106" s="918">
        <v>0.9</v>
      </c>
      <c r="F106" s="952" t="s">
        <v>1</v>
      </c>
      <c r="G106" s="579">
        <v>67.929618486282536</v>
      </c>
      <c r="H106" s="579">
        <v>56.915007647572843</v>
      </c>
      <c r="P106" s="918">
        <v>0.9</v>
      </c>
      <c r="Q106" s="952" t="s">
        <v>1</v>
      </c>
      <c r="R106" s="579">
        <v>46.511467191416607</v>
      </c>
      <c r="S106" s="579">
        <v>38.636823976761086</v>
      </c>
    </row>
    <row r="107" spans="3:19">
      <c r="D107" s="914" t="str">
        <f>'DropDown menus'!$L$3</f>
        <v>AZA Perfs (Costs &amp; SceLife)</v>
      </c>
      <c r="E107" s="918">
        <v>1</v>
      </c>
      <c r="F107" s="952" t="s">
        <v>1</v>
      </c>
      <c r="G107" s="579">
        <v>61.965575697951323</v>
      </c>
      <c r="H107" s="579">
        <v>52.052425943112596</v>
      </c>
      <c r="P107" s="918">
        <v>1</v>
      </c>
      <c r="Q107" s="952" t="s">
        <v>1</v>
      </c>
      <c r="R107" s="579">
        <v>42.743762738070153</v>
      </c>
      <c r="S107" s="579">
        <v>35.656583844880181</v>
      </c>
    </row>
    <row r="108" spans="3:19">
      <c r="D108" s="914" t="str">
        <f>'DropDown menus'!$L$3</f>
        <v>AZA Perfs (Costs &amp; SceLife)</v>
      </c>
      <c r="E108" s="918">
        <v>1.1000000000000001</v>
      </c>
      <c r="F108" s="952" t="s">
        <v>1</v>
      </c>
      <c r="G108" s="579">
        <v>57.085904325680318</v>
      </c>
      <c r="H108" s="579">
        <v>48.073950003099661</v>
      </c>
      <c r="P108" s="918">
        <v>1.1000000000000001</v>
      </c>
      <c r="Q108" s="952" t="s">
        <v>1</v>
      </c>
      <c r="R108" s="579">
        <v>39.661095458059421</v>
      </c>
      <c r="S108" s="579">
        <v>33.218205555159436</v>
      </c>
    </row>
    <row r="109" spans="3:19">
      <c r="D109" s="914" t="str">
        <f>'DropDown menus'!$L$3</f>
        <v>AZA Perfs (Costs &amp; SceLife)</v>
      </c>
      <c r="E109" s="918">
        <v>1.2</v>
      </c>
      <c r="F109" s="952" t="s">
        <v>1</v>
      </c>
      <c r="G109" s="579">
        <v>53.019511515454496</v>
      </c>
      <c r="H109" s="579">
        <v>44.758553386422228</v>
      </c>
      <c r="P109" s="918">
        <v>1.2</v>
      </c>
      <c r="Q109" s="952" t="s">
        <v>1</v>
      </c>
      <c r="R109" s="579">
        <v>37.092206058050472</v>
      </c>
      <c r="S109" s="579">
        <v>31.186223647058824</v>
      </c>
    </row>
    <row r="111" spans="3:19">
      <c r="C111" s="1054"/>
      <c r="D111" s="1025"/>
      <c r="E111" s="1025"/>
      <c r="F111" s="1025"/>
      <c r="G111" s="1025"/>
      <c r="H111" s="1025"/>
      <c r="I111" s="1025"/>
      <c r="J111" s="1025"/>
      <c r="K111" s="1025"/>
      <c r="L111" s="1025"/>
      <c r="M111" s="1025"/>
      <c r="N111" s="1025"/>
      <c r="O111" s="1025"/>
      <c r="P111" s="1025"/>
      <c r="Q111" s="1025"/>
      <c r="R111" s="1025"/>
      <c r="S111" s="1025"/>
    </row>
  </sheetData>
  <mergeCells count="9">
    <mergeCell ref="E89:H89"/>
    <mergeCell ref="P89:S89"/>
    <mergeCell ref="I66:O66"/>
    <mergeCell ref="V6:Y6"/>
    <mergeCell ref="AB6:AE6"/>
    <mergeCell ref="E6:H6"/>
    <mergeCell ref="P6:S6"/>
    <mergeCell ref="E66:H66"/>
    <mergeCell ref="P66:S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372" r:id="rId3" name="Drop Down 4">
              <controlPr defaultSize="0" autoLine="0" autoPict="0">
                <anchor moveWithCells="1">
                  <from>
                    <xdr:col>4</xdr:col>
                    <xdr:colOff>63500</xdr:colOff>
                    <xdr:row>2</xdr:row>
                    <xdr:rowOff>38100</xdr:rowOff>
                  </from>
                  <to>
                    <xdr:col>6</xdr:col>
                    <xdr:colOff>469900</xdr:colOff>
                    <xdr:row>2</xdr:row>
                    <xdr:rowOff>215900</xdr:rowOff>
                  </to>
                </anchor>
              </controlPr>
            </control>
          </mc:Choice>
        </mc:AlternateContent>
        <mc:AlternateContent xmlns:mc="http://schemas.openxmlformats.org/markup-compatibility/2006">
          <mc:Choice Requires="x14">
            <control shapeId="58373" r:id="rId4" name="Drop Down 5">
              <controlPr defaultSize="0" autoLine="0" autoPict="0">
                <anchor moveWithCells="1">
                  <from>
                    <xdr:col>3</xdr:col>
                    <xdr:colOff>1574800</xdr:colOff>
                    <xdr:row>61</xdr:row>
                    <xdr:rowOff>25400</xdr:rowOff>
                  </from>
                  <to>
                    <xdr:col>3</xdr:col>
                    <xdr:colOff>2222500</xdr:colOff>
                    <xdr:row>61</xdr:row>
                    <xdr:rowOff>215900</xdr:rowOff>
                  </to>
                </anchor>
              </controlPr>
            </control>
          </mc:Choice>
        </mc:AlternateContent>
        <mc:AlternateContent xmlns:mc="http://schemas.openxmlformats.org/markup-compatibility/2006">
          <mc:Choice Requires="x14">
            <control shapeId="58374" r:id="rId5" name="Drop Down 6">
              <controlPr defaultSize="0" autoLine="0" autoPict="0">
                <anchor moveWithCells="1">
                  <from>
                    <xdr:col>3</xdr:col>
                    <xdr:colOff>1549400</xdr:colOff>
                    <xdr:row>63</xdr:row>
                    <xdr:rowOff>25400</xdr:rowOff>
                  </from>
                  <to>
                    <xdr:col>3</xdr:col>
                    <xdr:colOff>2197100</xdr:colOff>
                    <xdr:row>63</xdr:row>
                    <xdr:rowOff>215900</xdr:rowOff>
                  </to>
                </anchor>
              </controlPr>
            </control>
          </mc:Choice>
        </mc:AlternateContent>
        <mc:AlternateContent xmlns:mc="http://schemas.openxmlformats.org/markup-compatibility/2006">
          <mc:Choice Requires="x14">
            <control shapeId="58375" r:id="rId6" name="Button 7">
              <controlPr defaultSize="0" print="0" autoFill="0" autoPict="0" macro="[0]!CONTAINER_copy_vals">
                <anchor moveWithCells="1" sizeWithCells="1">
                  <from>
                    <xdr:col>10</xdr:col>
                    <xdr:colOff>254000</xdr:colOff>
                    <xdr:row>67</xdr:row>
                    <xdr:rowOff>25400</xdr:rowOff>
                  </from>
                  <to>
                    <xdr:col>12</xdr:col>
                    <xdr:colOff>266700</xdr:colOff>
                    <xdr:row>68</xdr:row>
                    <xdr:rowOff>114300</xdr:rowOff>
                  </to>
                </anchor>
              </controlPr>
            </control>
          </mc:Choice>
        </mc:AlternateContent>
        <mc:AlternateContent xmlns:mc="http://schemas.openxmlformats.org/markup-compatibility/2006">
          <mc:Choice Requires="x14">
            <control shapeId="58376" r:id="rId7" name="Drop Down 8">
              <controlPr defaultSize="0" autoLine="0" autoPict="0">
                <anchor moveWithCells="1">
                  <from>
                    <xdr:col>9</xdr:col>
                    <xdr:colOff>254000</xdr:colOff>
                    <xdr:row>2</xdr:row>
                    <xdr:rowOff>38100</xdr:rowOff>
                  </from>
                  <to>
                    <xdr:col>11</xdr:col>
                    <xdr:colOff>508000</xdr:colOff>
                    <xdr:row>2</xdr:row>
                    <xdr:rowOff>203200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AX29"/>
  <sheetViews>
    <sheetView tabSelected="1" zoomScale="90" zoomScaleNormal="90" workbookViewId="0">
      <selection activeCell="I9" sqref="I9"/>
    </sheetView>
  </sheetViews>
  <sheetFormatPr baseColWidth="10" defaultColWidth="8.83203125" defaultRowHeight="13"/>
  <cols>
    <col min="1" max="1" width="3" customWidth="1"/>
    <col min="2" max="2" width="2.6640625" style="832" customWidth="1"/>
    <col min="3" max="3" width="5.5" style="1" customWidth="1"/>
    <col min="4" max="4" width="17.5" customWidth="1"/>
    <col min="5" max="5" width="2.6640625" style="832" bestFit="1" customWidth="1"/>
    <col min="6" max="6" width="9.5" style="1" customWidth="1"/>
    <col min="7" max="7" width="15" bestFit="1" customWidth="1"/>
    <col min="8" max="8" width="2.6640625" style="832" bestFit="1" customWidth="1"/>
    <col min="9" max="9" width="5.5" style="1" customWidth="1"/>
    <col min="10" max="10" width="15" bestFit="1" customWidth="1"/>
    <col min="11" max="11" width="2.6640625" style="832" bestFit="1" customWidth="1"/>
    <col min="12" max="12" width="8.33203125" style="1" customWidth="1"/>
    <col min="13" max="13" width="18.6640625" customWidth="1"/>
    <col min="14" max="14" width="2.6640625" style="832" bestFit="1" customWidth="1"/>
    <col min="15" max="15" width="8.33203125" style="1" customWidth="1"/>
    <col min="16" max="16" width="18.5" customWidth="1"/>
    <col min="17" max="17" width="7" customWidth="1"/>
    <col min="18" max="18" width="12.6640625" bestFit="1" customWidth="1"/>
    <col min="19" max="19" width="13.33203125" bestFit="1" customWidth="1"/>
    <col min="20" max="20" width="2.6640625" style="832" bestFit="1" customWidth="1"/>
    <col min="21" max="21" width="6.5" customWidth="1"/>
    <col min="22" max="22" width="15.83203125" customWidth="1"/>
    <col min="23" max="23" width="2.6640625" style="832" bestFit="1" customWidth="1"/>
    <col min="24" max="24" width="5.33203125" customWidth="1"/>
    <col min="25" max="25" width="20.6640625" customWidth="1"/>
    <col min="26" max="27" width="12.6640625" bestFit="1" customWidth="1"/>
    <col min="28" max="28" width="8.5" bestFit="1" customWidth="1"/>
    <col min="29" max="29" width="10.5" bestFit="1" customWidth="1"/>
    <col min="30" max="30" width="12.6640625" bestFit="1" customWidth="1"/>
    <col min="31" max="31" width="2.6640625" style="832" bestFit="1" customWidth="1"/>
    <col min="32" max="32" width="4.5" customWidth="1"/>
    <col min="33" max="33" width="14" customWidth="1"/>
    <col min="34" max="34" width="2.6640625" style="832" bestFit="1" customWidth="1"/>
    <col min="36" max="36" width="15.5" customWidth="1"/>
    <col min="37" max="37" width="2.6640625" style="832" bestFit="1" customWidth="1"/>
    <col min="38" max="38" width="4.5" customWidth="1"/>
    <col min="39" max="39" width="15.1640625" customWidth="1"/>
    <col min="40" max="40" width="2.6640625" style="832" bestFit="1" customWidth="1"/>
    <col min="41" max="41" width="6.1640625" customWidth="1"/>
    <col min="42" max="42" width="15.1640625" customWidth="1"/>
    <col min="43" max="43" width="2.6640625" style="832" bestFit="1" customWidth="1"/>
    <col min="44" max="44" width="6.5" customWidth="1"/>
    <col min="45" max="45" width="20.5" customWidth="1"/>
    <col min="46" max="46" width="2.6640625" style="832" bestFit="1" customWidth="1"/>
    <col min="48" max="48" width="14.6640625" customWidth="1"/>
    <col min="49" max="49" width="3" style="1" customWidth="1"/>
    <col min="50" max="50" width="2.6640625" style="832" bestFit="1" customWidth="1"/>
  </cols>
  <sheetData>
    <row r="1" spans="1:50" s="841" customFormat="1" ht="14">
      <c r="A1" s="841" t="s">
        <v>672</v>
      </c>
      <c r="C1" s="842"/>
      <c r="F1" s="842"/>
      <c r="I1" s="842"/>
      <c r="L1" s="842"/>
      <c r="O1" s="842"/>
      <c r="AO1" s="841" t="s">
        <v>733</v>
      </c>
      <c r="AW1" s="842"/>
    </row>
    <row r="2" spans="1:50">
      <c r="B2" s="969" t="s">
        <v>701</v>
      </c>
      <c r="E2"/>
      <c r="H2"/>
      <c r="K2"/>
      <c r="N2"/>
      <c r="T2"/>
      <c r="W2"/>
      <c r="AE2"/>
      <c r="AH2"/>
      <c r="AK2"/>
      <c r="AN2"/>
      <c r="AQ2"/>
      <c r="AT2"/>
      <c r="AX2"/>
    </row>
    <row r="3" spans="1:50" s="903" customFormat="1">
      <c r="B3" s="904"/>
      <c r="C3" s="905" t="s">
        <v>625</v>
      </c>
      <c r="E3" s="904"/>
      <c r="F3" s="906" t="s">
        <v>628</v>
      </c>
      <c r="H3" s="904"/>
      <c r="I3" s="906" t="s">
        <v>509</v>
      </c>
      <c r="K3" s="904"/>
      <c r="L3" s="907" t="s">
        <v>700</v>
      </c>
      <c r="N3" s="904"/>
      <c r="O3" s="907" t="s">
        <v>649</v>
      </c>
      <c r="T3" s="904"/>
      <c r="U3" s="907" t="s">
        <v>623</v>
      </c>
      <c r="W3" s="904"/>
      <c r="X3" s="907" t="s">
        <v>465</v>
      </c>
      <c r="AE3" s="904"/>
      <c r="AF3" s="907" t="s">
        <v>657</v>
      </c>
      <c r="AH3" s="904"/>
      <c r="AI3" s="907" t="s">
        <v>351</v>
      </c>
      <c r="AK3" s="904"/>
      <c r="AL3" s="907" t="s">
        <v>635</v>
      </c>
      <c r="AN3" s="904"/>
      <c r="AO3" s="907" t="s">
        <v>688</v>
      </c>
      <c r="AQ3" s="904"/>
      <c r="AR3" s="907" t="s">
        <v>734</v>
      </c>
      <c r="AT3" s="904"/>
      <c r="AU3" s="903" t="s">
        <v>976</v>
      </c>
      <c r="AW3" s="1413"/>
      <c r="AX3" s="904"/>
    </row>
    <row r="4" spans="1:50">
      <c r="C4" s="538">
        <v>0</v>
      </c>
      <c r="D4" t="s">
        <v>429</v>
      </c>
      <c r="F4" s="538">
        <v>0.02</v>
      </c>
      <c r="G4" t="s">
        <v>429</v>
      </c>
      <c r="I4" s="538">
        <v>0.04</v>
      </c>
      <c r="J4" t="s">
        <v>429</v>
      </c>
      <c r="L4" s="538">
        <v>1</v>
      </c>
      <c r="M4" t="s">
        <v>429</v>
      </c>
      <c r="O4" s="538">
        <v>1</v>
      </c>
      <c r="P4" t="s">
        <v>429</v>
      </c>
      <c r="AF4" s="538">
        <v>0.02</v>
      </c>
      <c r="AG4" t="s">
        <v>429</v>
      </c>
      <c r="AI4" s="538">
        <v>0.55000000000000004</v>
      </c>
      <c r="AJ4" t="s">
        <v>429</v>
      </c>
      <c r="AO4" s="531">
        <v>125</v>
      </c>
      <c r="AP4" t="s">
        <v>429</v>
      </c>
    </row>
    <row r="5" spans="1:50">
      <c r="C5" s="538">
        <v>-0.02</v>
      </c>
      <c r="D5" t="s">
        <v>626</v>
      </c>
      <c r="F5" s="538">
        <v>-0.04</v>
      </c>
      <c r="G5" t="s">
        <v>626</v>
      </c>
      <c r="I5" s="538">
        <v>0</v>
      </c>
      <c r="J5" t="s">
        <v>626</v>
      </c>
      <c r="L5" s="538">
        <v>0.8</v>
      </c>
      <c r="M5" t="s">
        <v>626</v>
      </c>
      <c r="O5" s="538">
        <v>1.25</v>
      </c>
      <c r="P5" t="s">
        <v>626</v>
      </c>
      <c r="AF5" s="538">
        <v>0.01</v>
      </c>
      <c r="AG5" t="s">
        <v>626</v>
      </c>
      <c r="AI5" s="538">
        <v>0.5</v>
      </c>
      <c r="AJ5" t="s">
        <v>626</v>
      </c>
      <c r="AO5" s="531">
        <v>200</v>
      </c>
      <c r="AP5" t="s">
        <v>686</v>
      </c>
    </row>
    <row r="6" spans="1:50">
      <c r="C6" s="538">
        <v>0.02</v>
      </c>
      <c r="D6" t="s">
        <v>627</v>
      </c>
      <c r="F6" s="538">
        <v>0.04</v>
      </c>
      <c r="G6" t="s">
        <v>627</v>
      </c>
      <c r="I6" s="538">
        <v>0.08</v>
      </c>
      <c r="J6" t="s">
        <v>627</v>
      </c>
      <c r="L6" s="538">
        <v>1.2</v>
      </c>
      <c r="M6" t="s">
        <v>627</v>
      </c>
      <c r="O6" s="538">
        <v>0.8</v>
      </c>
      <c r="P6" t="s">
        <v>627</v>
      </c>
      <c r="AF6" s="538">
        <v>0.03</v>
      </c>
      <c r="AG6" t="s">
        <v>627</v>
      </c>
      <c r="AI6" s="538">
        <v>0.6</v>
      </c>
      <c r="AJ6" t="s">
        <v>627</v>
      </c>
      <c r="AO6" s="531">
        <v>80</v>
      </c>
      <c r="AP6" t="s">
        <v>687</v>
      </c>
    </row>
    <row r="7" spans="1:50">
      <c r="C7" s="531">
        <v>5</v>
      </c>
      <c r="D7" t="s">
        <v>629</v>
      </c>
      <c r="F7" s="531">
        <v>9</v>
      </c>
      <c r="G7" t="s">
        <v>629</v>
      </c>
      <c r="I7" s="531">
        <v>7</v>
      </c>
      <c r="J7" t="s">
        <v>629</v>
      </c>
      <c r="L7" s="531">
        <v>5</v>
      </c>
      <c r="M7" t="s">
        <v>629</v>
      </c>
      <c r="O7" s="531">
        <v>5</v>
      </c>
      <c r="P7" t="s">
        <v>629</v>
      </c>
      <c r="U7" s="531">
        <v>2</v>
      </c>
      <c r="V7" t="s">
        <v>629</v>
      </c>
      <c r="X7" s="531">
        <v>5</v>
      </c>
      <c r="Y7" t="s">
        <v>629</v>
      </c>
      <c r="AF7" s="531">
        <v>3</v>
      </c>
      <c r="AG7" t="s">
        <v>629</v>
      </c>
      <c r="AI7" s="531">
        <v>3</v>
      </c>
      <c r="AJ7" t="s">
        <v>629</v>
      </c>
      <c r="AL7" s="531">
        <v>1</v>
      </c>
      <c r="AM7" t="s">
        <v>629</v>
      </c>
      <c r="AO7" s="531">
        <v>5</v>
      </c>
      <c r="AP7" t="s">
        <v>629</v>
      </c>
      <c r="AR7" s="531">
        <v>2</v>
      </c>
      <c r="AS7" t="s">
        <v>629</v>
      </c>
      <c r="AU7" s="531">
        <v>4</v>
      </c>
      <c r="AV7" t="s">
        <v>629</v>
      </c>
    </row>
    <row r="8" spans="1:50">
      <c r="Z8" s="1533" t="s">
        <v>656</v>
      </c>
      <c r="AA8" s="1533"/>
      <c r="AB8" s="1533"/>
      <c r="AC8" s="1533"/>
      <c r="AD8" s="1533"/>
      <c r="AR8" s="1">
        <f>AR10-1</f>
        <v>0</v>
      </c>
      <c r="AS8" t="s">
        <v>744</v>
      </c>
      <c r="AU8" s="1">
        <f>AU10-1</f>
        <v>2</v>
      </c>
      <c r="AV8" t="s">
        <v>744</v>
      </c>
    </row>
    <row r="9" spans="1:50" s="119" customFormat="1">
      <c r="B9" s="836"/>
      <c r="C9" s="838">
        <f ca="1">OFFSET(C11,'DropDown menus'!C10-1,0)</f>
        <v>0</v>
      </c>
      <c r="D9" s="119" t="s">
        <v>630</v>
      </c>
      <c r="E9" s="836"/>
      <c r="F9" s="838">
        <f ca="1">OFFSET(F11,'DropDown menus'!F10-1,0)</f>
        <v>0.02</v>
      </c>
      <c r="G9" s="119" t="s">
        <v>630</v>
      </c>
      <c r="H9" s="836"/>
      <c r="I9" s="838">
        <f ca="1">OFFSET(I11,'DropDown menus'!I10-1,0)</f>
        <v>0.04</v>
      </c>
      <c r="J9" s="119" t="s">
        <v>630</v>
      </c>
      <c r="K9" s="836"/>
      <c r="L9" s="878">
        <f ca="1">OFFSET(L11,'DropDown menus'!L10-1,0)</f>
        <v>1</v>
      </c>
      <c r="M9" s="119" t="s">
        <v>630</v>
      </c>
      <c r="N9" s="836"/>
      <c r="O9" s="878" t="str">
        <f ca="1">OFFSET(O11,'DropDown menus'!O10-1,0)</f>
        <v>100% (117 $/kWh 3500 cyc.)</v>
      </c>
      <c r="P9" s="119" t="s">
        <v>630</v>
      </c>
      <c r="Q9" s="878">
        <f ca="1">OFFSET(Q11,'DropDown menus'!O10-1,0)</f>
        <v>1</v>
      </c>
      <c r="R9" s="881">
        <f ca="1">OFFSET(R$11,$O$10-1,0)</f>
        <v>117</v>
      </c>
      <c r="S9" s="876">
        <f ca="1">OFFSET(S$11,$O$10-1,0)</f>
        <v>3500</v>
      </c>
      <c r="T9" s="836"/>
      <c r="U9" s="839">
        <f ca="1">OFFSET(U11,'DropDown menus'!U10-1,0)</f>
        <v>2028</v>
      </c>
      <c r="V9" s="119" t="s">
        <v>630</v>
      </c>
      <c r="W9" s="836"/>
      <c r="X9" s="840" t="str">
        <f ca="1">OFFSET(X11,'DropDown menus'!X10-1,0)</f>
        <v>California</v>
      </c>
      <c r="Y9" s="119" t="s">
        <v>630</v>
      </c>
      <c r="Z9" s="881">
        <f ca="1">OFFSET(Z$11,$X$10-1,0)</f>
        <v>4.8</v>
      </c>
      <c r="AA9" s="879">
        <f ca="1">OFFSET(AA$11,$X$10-1,0)</f>
        <v>-0.15</v>
      </c>
      <c r="AB9" s="879"/>
      <c r="AC9" s="880">
        <f ca="1">OFFSET(AC$11,$X$10-1,0)</f>
        <v>0.4</v>
      </c>
      <c r="AD9" s="880">
        <f ca="1">OFFSET(AD$11,$X$10-1,0)</f>
        <v>0.15</v>
      </c>
      <c r="AE9" s="836"/>
      <c r="AF9" s="887">
        <f ca="1">OFFSET(AF11,'DropDown menus'!AF10-1,0)</f>
        <v>0.02</v>
      </c>
      <c r="AG9" s="119" t="s">
        <v>630</v>
      </c>
      <c r="AH9" s="836"/>
      <c r="AI9" s="887">
        <f ca="1">OFFSET(AI11,'DropDown menus'!AI10-1,0)</f>
        <v>0.55000000000000004</v>
      </c>
      <c r="AJ9" s="119" t="s">
        <v>630</v>
      </c>
      <c r="AK9" s="836"/>
      <c r="AL9" s="839">
        <f ca="1">OFFSET(AL11,'DropDown menus'!AL10-1,0)</f>
        <v>20</v>
      </c>
      <c r="AM9" s="119" t="s">
        <v>630</v>
      </c>
      <c r="AN9" s="836"/>
      <c r="AO9" s="839">
        <f ca="1">OFFSET(AO11,'DropDown menus'!AO10-1,0)</f>
        <v>125</v>
      </c>
      <c r="AP9" s="119" t="s">
        <v>630</v>
      </c>
      <c r="AQ9" s="836"/>
      <c r="AR9" s="839" t="str">
        <f ca="1">OFFSET(AR11,'DropDown menus'!AR10-1,0)</f>
        <v>PVF</v>
      </c>
      <c r="AS9" s="119" t="s">
        <v>630</v>
      </c>
      <c r="AT9" s="836"/>
      <c r="AU9" s="839">
        <f ca="1">OFFSET(AU11,'DropDown menus'!AU10-1,0)</f>
        <v>24</v>
      </c>
      <c r="AV9" s="119" t="s">
        <v>630</v>
      </c>
      <c r="AW9" s="536"/>
      <c r="AX9" s="836"/>
    </row>
    <row r="10" spans="1:50" s="6" customFormat="1" ht="22.5" customHeight="1">
      <c r="B10" s="833"/>
      <c r="C10" s="829">
        <v>3</v>
      </c>
      <c r="D10" s="830"/>
      <c r="E10" s="833"/>
      <c r="F10" s="829">
        <v>7</v>
      </c>
      <c r="G10" s="831"/>
      <c r="H10" s="833"/>
      <c r="I10" s="829">
        <v>4</v>
      </c>
      <c r="J10" s="831"/>
      <c r="K10" s="833"/>
      <c r="L10" s="829">
        <v>3</v>
      </c>
      <c r="M10" s="830"/>
      <c r="N10" s="833"/>
      <c r="O10" s="829">
        <v>3</v>
      </c>
      <c r="P10" s="830"/>
      <c r="Q10" s="830"/>
      <c r="R10" s="664" t="s">
        <v>650</v>
      </c>
      <c r="S10" s="664" t="s">
        <v>651</v>
      </c>
      <c r="T10" s="833"/>
      <c r="U10" s="834">
        <v>2</v>
      </c>
      <c r="V10" s="491"/>
      <c r="W10" s="833"/>
      <c r="X10" s="834">
        <v>3</v>
      </c>
      <c r="Y10" s="491"/>
      <c r="Z10" s="886" t="s">
        <v>473</v>
      </c>
      <c r="AA10" s="886" t="s">
        <v>653</v>
      </c>
      <c r="AB10" s="886" t="s">
        <v>658</v>
      </c>
      <c r="AC10" s="886" t="s">
        <v>655</v>
      </c>
      <c r="AD10" s="886" t="s">
        <v>654</v>
      </c>
      <c r="AE10" s="833"/>
      <c r="AF10" s="834">
        <v>2</v>
      </c>
      <c r="AG10" s="491"/>
      <c r="AH10" s="833"/>
      <c r="AI10" s="834">
        <v>2</v>
      </c>
      <c r="AJ10" s="491"/>
      <c r="AK10" s="833"/>
      <c r="AL10" s="834">
        <v>1</v>
      </c>
      <c r="AM10" s="491"/>
      <c r="AN10" s="833"/>
      <c r="AO10" s="834">
        <v>3</v>
      </c>
      <c r="AP10" s="491"/>
      <c r="AQ10" s="833"/>
      <c r="AR10" s="834">
        <v>1</v>
      </c>
      <c r="AS10" s="491"/>
      <c r="AT10" s="833"/>
      <c r="AU10" s="834">
        <v>3</v>
      </c>
      <c r="AV10" s="491"/>
      <c r="AW10" s="45"/>
      <c r="AX10" s="833"/>
    </row>
    <row r="11" spans="1:50">
      <c r="B11" s="843">
        <v>1</v>
      </c>
      <c r="C11" s="828">
        <v>-0.02</v>
      </c>
      <c r="E11" s="843">
        <v>1</v>
      </c>
      <c r="F11" s="908">
        <v>-0.04</v>
      </c>
      <c r="H11" s="843">
        <v>1</v>
      </c>
      <c r="I11" s="828">
        <v>0</v>
      </c>
      <c r="K11" s="843">
        <v>1</v>
      </c>
      <c r="L11" s="828">
        <v>0.8</v>
      </c>
      <c r="M11" s="530"/>
      <c r="N11" s="843">
        <v>1</v>
      </c>
      <c r="O11" s="877" t="str">
        <f>CONCATENATE( TEXT(Q11,"0%")," (",TEXT(R11,"0")," $/kWh ",S11," cyc.)")</f>
        <v>125% (117 $/kWh 4375 cyc.)</v>
      </c>
      <c r="P11" s="530"/>
      <c r="Q11" s="828">
        <v>1.25</v>
      </c>
      <c r="R11" s="974">
        <f>R12</f>
        <v>117</v>
      </c>
      <c r="S11" s="971">
        <f>S$13*Q11</f>
        <v>4375</v>
      </c>
      <c r="T11" s="843">
        <v>1</v>
      </c>
      <c r="U11" s="835">
        <v>2023</v>
      </c>
      <c r="V11" s="1033" t="str">
        <f>CONCATENATE("Year ",U11)</f>
        <v>Year 2023</v>
      </c>
      <c r="W11" s="843">
        <v>1</v>
      </c>
      <c r="X11" s="13" t="s">
        <v>631</v>
      </c>
      <c r="Y11" s="664"/>
      <c r="Z11" s="882">
        <v>6</v>
      </c>
      <c r="AA11" s="597">
        <v>-0.2</v>
      </c>
      <c r="AB11" s="889">
        <v>20</v>
      </c>
      <c r="AC11" s="913">
        <v>0.4</v>
      </c>
      <c r="AD11" s="913">
        <v>0.15</v>
      </c>
      <c r="AE11" s="843">
        <v>1</v>
      </c>
      <c r="AF11" s="828">
        <v>0.01</v>
      </c>
      <c r="AG11" s="548"/>
      <c r="AH11" s="843">
        <v>1</v>
      </c>
      <c r="AI11" s="828">
        <v>0.5</v>
      </c>
      <c r="AJ11" s="548"/>
      <c r="AK11" s="843">
        <v>1</v>
      </c>
      <c r="AL11" s="835">
        <v>20</v>
      </c>
      <c r="AM11" s="548" t="s">
        <v>61</v>
      </c>
      <c r="AN11" s="843">
        <v>1</v>
      </c>
      <c r="AO11" s="835">
        <v>200</v>
      </c>
      <c r="AP11" s="548" t="s">
        <v>499</v>
      </c>
      <c r="AQ11" s="843">
        <v>1</v>
      </c>
      <c r="AR11" s="835" t="s">
        <v>737</v>
      </c>
      <c r="AS11" s="1033" t="s">
        <v>735</v>
      </c>
      <c r="AT11" s="843">
        <v>1</v>
      </c>
      <c r="AU11" s="835">
        <v>12</v>
      </c>
      <c r="AV11" s="1033" t="str">
        <f>CONCATENATE(TEXT(AW11,"#0"),"MW x ",AU11,"hours")</f>
        <v>1MW x 12hours</v>
      </c>
      <c r="AW11" s="1">
        <v>1</v>
      </c>
      <c r="AX11" s="843">
        <v>1</v>
      </c>
    </row>
    <row r="12" spans="1:50">
      <c r="B12" s="843">
        <f>B11+1</f>
        <v>2</v>
      </c>
      <c r="C12" s="828">
        <v>-0.01</v>
      </c>
      <c r="D12" s="530"/>
      <c r="E12" s="843">
        <f>E11+1</f>
        <v>2</v>
      </c>
      <c r="F12" s="908">
        <v>-0.03</v>
      </c>
      <c r="G12" s="664"/>
      <c r="H12" s="843">
        <f>H11+1</f>
        <v>2</v>
      </c>
      <c r="I12" s="828">
        <v>0.01</v>
      </c>
      <c r="J12" s="664"/>
      <c r="K12" s="843">
        <f>K11+1</f>
        <v>2</v>
      </c>
      <c r="L12" s="828">
        <v>0.9</v>
      </c>
      <c r="M12" s="530"/>
      <c r="N12" s="843">
        <f>N11+1</f>
        <v>2</v>
      </c>
      <c r="O12" s="877" t="str">
        <f>CONCATENATE( TEXT(Q12,"0%")," (",TEXT(R12,"0")," $/kWh ",S12," cyc.)")</f>
        <v>110% (117 $/kWh 3850 cyc.)</v>
      </c>
      <c r="P12" s="530"/>
      <c r="Q12" s="828">
        <v>1.1000000000000001</v>
      </c>
      <c r="R12" s="974">
        <f>R13</f>
        <v>117</v>
      </c>
      <c r="S12" s="971">
        <f>S$13*Q12</f>
        <v>3850.0000000000005</v>
      </c>
      <c r="T12" s="843">
        <f>T11+1</f>
        <v>2</v>
      </c>
      <c r="U12" s="835">
        <v>2028</v>
      </c>
      <c r="V12" s="1033" t="str">
        <f>CONCATENATE("Year ",U12)</f>
        <v>Year 2028</v>
      </c>
      <c r="W12" s="843">
        <f>W11+1</f>
        <v>2</v>
      </c>
      <c r="X12" s="13" t="s">
        <v>632</v>
      </c>
      <c r="Y12" s="664"/>
      <c r="Z12" s="882">
        <v>5.4</v>
      </c>
      <c r="AA12" s="597">
        <v>-0.18</v>
      </c>
      <c r="AB12" s="889">
        <v>20</v>
      </c>
      <c r="AC12" s="913">
        <v>0.4</v>
      </c>
      <c r="AD12" s="913">
        <v>0.1</v>
      </c>
      <c r="AE12" s="843">
        <f>AE11+1</f>
        <v>2</v>
      </c>
      <c r="AF12" s="828">
        <v>0.02</v>
      </c>
      <c r="AH12" s="843">
        <f>AH11+1</f>
        <v>2</v>
      </c>
      <c r="AI12" s="828">
        <v>0.55000000000000004</v>
      </c>
      <c r="AK12" s="843">
        <f>AK11+1</f>
        <v>2</v>
      </c>
      <c r="AL12" s="664"/>
      <c r="AN12" s="843">
        <f>AN11+1</f>
        <v>2</v>
      </c>
      <c r="AO12" s="835">
        <v>150</v>
      </c>
      <c r="AP12" s="548" t="s">
        <v>499</v>
      </c>
      <c r="AQ12" s="843">
        <f>AQ11+1</f>
        <v>2</v>
      </c>
      <c r="AR12" s="835" t="s">
        <v>738</v>
      </c>
      <c r="AS12" s="1033" t="s">
        <v>736</v>
      </c>
      <c r="AT12" s="843">
        <f>AT11+1</f>
        <v>2</v>
      </c>
      <c r="AU12" s="835">
        <v>12</v>
      </c>
      <c r="AV12" s="1033" t="str">
        <f t="shared" ref="AV12:AV14" si="0">CONCATENATE(TEXT(AW12,"#0"),"MW x ",AU12,"hours")</f>
        <v>3MW x 12hours</v>
      </c>
      <c r="AW12" s="1">
        <v>3</v>
      </c>
      <c r="AX12" s="843">
        <f>AX11+1</f>
        <v>2</v>
      </c>
    </row>
    <row r="13" spans="1:50">
      <c r="B13" s="843">
        <f t="shared" ref="B13:B21" si="1">B12+1</f>
        <v>3</v>
      </c>
      <c r="C13" s="828">
        <v>0</v>
      </c>
      <c r="D13" s="530"/>
      <c r="E13" s="843">
        <f t="shared" ref="E13:E21" si="2">E12+1</f>
        <v>3</v>
      </c>
      <c r="F13" s="908">
        <v>-0.02</v>
      </c>
      <c r="G13" s="664"/>
      <c r="H13" s="843">
        <f t="shared" ref="H13:H21" si="3">H12+1</f>
        <v>3</v>
      </c>
      <c r="I13" s="828">
        <v>0.02</v>
      </c>
      <c r="J13" s="664"/>
      <c r="K13" s="843">
        <f t="shared" ref="K13:K21" si="4">K12+1</f>
        <v>3</v>
      </c>
      <c r="L13" s="828">
        <v>1</v>
      </c>
      <c r="M13" s="530"/>
      <c r="N13" s="843">
        <f t="shared" ref="N13:N21" si="5">N12+1</f>
        <v>3</v>
      </c>
      <c r="O13" s="877" t="str">
        <f>CONCATENATE( TEXT(Q13,"0%")," (",TEXT(R13,"0")," $/kWh ",S13," cyc.)")</f>
        <v>100% (117 $/kWh 3500 cyc.)</v>
      </c>
      <c r="P13" s="530"/>
      <c r="Q13" s="828">
        <v>1</v>
      </c>
      <c r="R13" s="975">
        <f>'Cells Cost'!B21</f>
        <v>117</v>
      </c>
      <c r="S13" s="972">
        <f>'Cells Cost'!I21</f>
        <v>3500</v>
      </c>
      <c r="T13" s="843">
        <f t="shared" ref="T13:T21" si="6">T12+1</f>
        <v>3</v>
      </c>
      <c r="W13" s="843">
        <f t="shared" ref="W13:W21" si="7">W12+1</f>
        <v>3</v>
      </c>
      <c r="X13" s="13" t="s">
        <v>620</v>
      </c>
      <c r="Z13" s="882">
        <v>4.8</v>
      </c>
      <c r="AA13" s="597">
        <v>-0.15</v>
      </c>
      <c r="AB13" s="889">
        <v>20</v>
      </c>
      <c r="AC13" s="913">
        <v>0.4</v>
      </c>
      <c r="AD13" s="913">
        <v>0.15</v>
      </c>
      <c r="AE13" s="843">
        <f t="shared" ref="AE13:AE21" si="8">AE12+1</f>
        <v>3</v>
      </c>
      <c r="AF13" s="828">
        <v>0.03</v>
      </c>
      <c r="AH13" s="843">
        <f t="shared" ref="AH13:AH21" si="9">AH12+1</f>
        <v>3</v>
      </c>
      <c r="AI13" s="828">
        <v>0.6</v>
      </c>
      <c r="AK13" s="843">
        <f t="shared" ref="AK13:AK21" si="10">AK12+1</f>
        <v>3</v>
      </c>
      <c r="AN13" s="843">
        <f t="shared" ref="AN13:AN21" si="11">AN12+1</f>
        <v>3</v>
      </c>
      <c r="AO13" s="835">
        <v>125</v>
      </c>
      <c r="AP13" s="548" t="s">
        <v>499</v>
      </c>
      <c r="AQ13" s="843">
        <f t="shared" ref="AQ13:AQ21" si="12">AQ12+1</f>
        <v>3</v>
      </c>
      <c r="AT13" s="843">
        <f t="shared" ref="AT13:AT21" si="13">AT12+1</f>
        <v>3</v>
      </c>
      <c r="AU13" s="835">
        <v>24</v>
      </c>
      <c r="AV13" s="1033" t="str">
        <f t="shared" si="0"/>
        <v>3MW x 24hours</v>
      </c>
      <c r="AW13" s="1">
        <v>3</v>
      </c>
      <c r="AX13" s="843">
        <f t="shared" ref="AX13:AX21" si="14">AX12+1</f>
        <v>3</v>
      </c>
    </row>
    <row r="14" spans="1:50">
      <c r="B14" s="843">
        <f t="shared" si="1"/>
        <v>4</v>
      </c>
      <c r="C14" s="892">
        <v>0.01</v>
      </c>
      <c r="D14" s="530"/>
      <c r="E14" s="843">
        <f t="shared" si="2"/>
        <v>4</v>
      </c>
      <c r="F14" s="908">
        <v>-0.01</v>
      </c>
      <c r="G14" s="664"/>
      <c r="H14" s="843">
        <f t="shared" si="3"/>
        <v>4</v>
      </c>
      <c r="I14" s="828">
        <v>0.04</v>
      </c>
      <c r="J14" s="664"/>
      <c r="K14" s="843">
        <f t="shared" si="4"/>
        <v>4</v>
      </c>
      <c r="L14" s="828">
        <v>1.1000000000000001</v>
      </c>
      <c r="M14" s="530"/>
      <c r="N14" s="843">
        <f t="shared" si="5"/>
        <v>4</v>
      </c>
      <c r="O14" s="877" t="str">
        <f>CONCATENATE( TEXT(Q14,"0%")," (",TEXT(R14,"0")," $/kWh ",S14," cyc.)")</f>
        <v>90% (117 $/kWh 3150 cyc.)</v>
      </c>
      <c r="P14" s="530"/>
      <c r="Q14" s="828">
        <v>0.9</v>
      </c>
      <c r="R14" s="974">
        <f>R13</f>
        <v>117</v>
      </c>
      <c r="S14" s="971">
        <f>S$13*Q14</f>
        <v>3150</v>
      </c>
      <c r="T14" s="843">
        <f t="shared" si="6"/>
        <v>4</v>
      </c>
      <c r="W14" s="843">
        <f t="shared" si="7"/>
        <v>4</v>
      </c>
      <c r="X14" s="13" t="s">
        <v>618</v>
      </c>
      <c r="Z14" s="882">
        <v>4.8</v>
      </c>
      <c r="AA14" s="597">
        <v>-0.14000000000000001</v>
      </c>
      <c r="AB14" s="889">
        <v>20</v>
      </c>
      <c r="AC14" s="913">
        <v>0.4</v>
      </c>
      <c r="AD14" s="913">
        <v>0.15</v>
      </c>
      <c r="AE14" s="843">
        <f t="shared" si="8"/>
        <v>4</v>
      </c>
      <c r="AH14" s="843">
        <f t="shared" si="9"/>
        <v>4</v>
      </c>
      <c r="AK14" s="843">
        <f t="shared" si="10"/>
        <v>4</v>
      </c>
      <c r="AN14" s="843">
        <f t="shared" si="11"/>
        <v>4</v>
      </c>
      <c r="AO14" s="835">
        <v>100</v>
      </c>
      <c r="AP14" s="548" t="s">
        <v>499</v>
      </c>
      <c r="AQ14" s="843">
        <f t="shared" si="12"/>
        <v>4</v>
      </c>
      <c r="AT14" s="843">
        <f t="shared" si="13"/>
        <v>4</v>
      </c>
      <c r="AU14" s="835">
        <v>48</v>
      </c>
      <c r="AV14" s="1033" t="str">
        <f t="shared" si="0"/>
        <v>3MW x 48hours</v>
      </c>
      <c r="AW14" s="1">
        <v>3</v>
      </c>
      <c r="AX14" s="843">
        <f t="shared" si="14"/>
        <v>4</v>
      </c>
    </row>
    <row r="15" spans="1:50">
      <c r="B15" s="843">
        <f t="shared" si="1"/>
        <v>5</v>
      </c>
      <c r="C15" s="892">
        <v>0.02</v>
      </c>
      <c r="D15" s="530"/>
      <c r="E15" s="843">
        <f t="shared" si="2"/>
        <v>5</v>
      </c>
      <c r="F15" s="908">
        <v>0</v>
      </c>
      <c r="G15" s="664"/>
      <c r="H15" s="843">
        <f t="shared" si="3"/>
        <v>5</v>
      </c>
      <c r="I15" s="828">
        <v>0.06</v>
      </c>
      <c r="J15" s="664"/>
      <c r="K15" s="843">
        <f t="shared" si="4"/>
        <v>5</v>
      </c>
      <c r="L15" s="828">
        <v>1.2</v>
      </c>
      <c r="M15" s="530"/>
      <c r="N15" s="843">
        <f t="shared" si="5"/>
        <v>5</v>
      </c>
      <c r="O15" s="877" t="str">
        <f>CONCATENATE( TEXT(Q15,"0%")," (",TEXT(R15,"0")," $/kWh ",S15," cyc.)")</f>
        <v>80% (117 $/kWh 2800 cyc.)</v>
      </c>
      <c r="P15" s="530"/>
      <c r="Q15" s="828">
        <v>0.8</v>
      </c>
      <c r="R15" s="974">
        <f>R14</f>
        <v>117</v>
      </c>
      <c r="S15" s="971">
        <f>S$13*Q15</f>
        <v>2800</v>
      </c>
      <c r="T15" s="843">
        <f t="shared" si="6"/>
        <v>5</v>
      </c>
      <c r="W15" s="843">
        <f t="shared" si="7"/>
        <v>5</v>
      </c>
      <c r="X15" s="13" t="s">
        <v>466</v>
      </c>
      <c r="Z15" s="882">
        <v>3</v>
      </c>
      <c r="AA15" s="597">
        <v>-0.14000000000000001</v>
      </c>
      <c r="AB15" s="889">
        <v>20</v>
      </c>
      <c r="AC15" s="913">
        <v>0.4</v>
      </c>
      <c r="AD15" s="913">
        <v>0.2</v>
      </c>
      <c r="AE15" s="843">
        <f t="shared" si="8"/>
        <v>5</v>
      </c>
      <c r="AH15" s="843">
        <f t="shared" si="9"/>
        <v>5</v>
      </c>
      <c r="AK15" s="843">
        <f t="shared" si="10"/>
        <v>5</v>
      </c>
      <c r="AN15" s="843">
        <f t="shared" si="11"/>
        <v>5</v>
      </c>
      <c r="AO15" s="835">
        <v>80</v>
      </c>
      <c r="AP15" s="548" t="s">
        <v>499</v>
      </c>
      <c r="AQ15" s="843">
        <f t="shared" si="12"/>
        <v>5</v>
      </c>
      <c r="AT15" s="843">
        <f t="shared" si="13"/>
        <v>5</v>
      </c>
      <c r="AX15" s="843">
        <f t="shared" si="14"/>
        <v>5</v>
      </c>
    </row>
    <row r="16" spans="1:50">
      <c r="B16" s="843">
        <f t="shared" si="1"/>
        <v>6</v>
      </c>
      <c r="C16" s="664"/>
      <c r="D16" s="530"/>
      <c r="E16" s="843">
        <f t="shared" si="2"/>
        <v>6</v>
      </c>
      <c r="F16" s="909">
        <v>0.01</v>
      </c>
      <c r="G16" s="664"/>
      <c r="H16" s="843">
        <f t="shared" si="3"/>
        <v>6</v>
      </c>
      <c r="I16" s="828">
        <v>0.08</v>
      </c>
      <c r="J16" s="664"/>
      <c r="K16" s="843">
        <f t="shared" si="4"/>
        <v>6</v>
      </c>
      <c r="L16" s="828"/>
      <c r="M16" s="664"/>
      <c r="N16" s="843">
        <f t="shared" si="5"/>
        <v>6</v>
      </c>
      <c r="O16" s="828"/>
      <c r="P16" s="664"/>
      <c r="Q16" s="664"/>
      <c r="R16" s="664"/>
      <c r="S16" s="664"/>
      <c r="T16" s="843">
        <f t="shared" si="6"/>
        <v>6</v>
      </c>
      <c r="W16" s="843">
        <f t="shared" si="7"/>
        <v>6</v>
      </c>
      <c r="Z16" s="664"/>
      <c r="AA16" s="664"/>
      <c r="AB16" s="664"/>
      <c r="AC16" s="664"/>
      <c r="AD16" s="664"/>
      <c r="AE16" s="843">
        <f t="shared" si="8"/>
        <v>6</v>
      </c>
      <c r="AH16" s="843">
        <f t="shared" si="9"/>
        <v>6</v>
      </c>
      <c r="AK16" s="843">
        <f t="shared" si="10"/>
        <v>6</v>
      </c>
      <c r="AN16" s="843">
        <f t="shared" si="11"/>
        <v>6</v>
      </c>
      <c r="AQ16" s="843">
        <f t="shared" si="12"/>
        <v>6</v>
      </c>
      <c r="AT16" s="843">
        <f t="shared" si="13"/>
        <v>6</v>
      </c>
      <c r="AX16" s="843">
        <f t="shared" si="14"/>
        <v>6</v>
      </c>
    </row>
    <row r="17" spans="2:50">
      <c r="B17" s="843">
        <f t="shared" si="1"/>
        <v>7</v>
      </c>
      <c r="C17" s="828"/>
      <c r="D17" s="530"/>
      <c r="E17" s="843">
        <f t="shared" si="2"/>
        <v>7</v>
      </c>
      <c r="F17" s="909">
        <v>0.02</v>
      </c>
      <c r="G17" s="664"/>
      <c r="H17" s="843">
        <f t="shared" si="3"/>
        <v>7</v>
      </c>
      <c r="I17" s="828">
        <v>0.1</v>
      </c>
      <c r="J17" s="664"/>
      <c r="K17" s="843">
        <f t="shared" si="4"/>
        <v>7</v>
      </c>
      <c r="L17" s="664"/>
      <c r="N17" s="843">
        <f t="shared" si="5"/>
        <v>7</v>
      </c>
      <c r="O17" s="664"/>
      <c r="R17" s="664"/>
      <c r="S17" s="664"/>
      <c r="T17" s="843">
        <f t="shared" si="6"/>
        <v>7</v>
      </c>
      <c r="W17" s="843">
        <f t="shared" si="7"/>
        <v>7</v>
      </c>
      <c r="Z17" s="664"/>
      <c r="AA17" s="664"/>
      <c r="AB17" s="664"/>
      <c r="AC17" s="664"/>
      <c r="AD17" s="664"/>
      <c r="AE17" s="843">
        <f t="shared" si="8"/>
        <v>7</v>
      </c>
      <c r="AH17" s="843">
        <f t="shared" si="9"/>
        <v>7</v>
      </c>
      <c r="AK17" s="843">
        <f t="shared" si="10"/>
        <v>7</v>
      </c>
      <c r="AN17" s="843">
        <f t="shared" si="11"/>
        <v>7</v>
      </c>
      <c r="AQ17" s="843">
        <f t="shared" si="12"/>
        <v>7</v>
      </c>
      <c r="AT17" s="843">
        <f t="shared" si="13"/>
        <v>7</v>
      </c>
      <c r="AX17" s="843">
        <f t="shared" si="14"/>
        <v>7</v>
      </c>
    </row>
    <row r="18" spans="2:50">
      <c r="B18" s="843">
        <f t="shared" si="1"/>
        <v>8</v>
      </c>
      <c r="C18" s="828"/>
      <c r="D18" s="530"/>
      <c r="E18" s="843">
        <f t="shared" si="2"/>
        <v>8</v>
      </c>
      <c r="F18" s="909">
        <v>0.03</v>
      </c>
      <c r="G18" s="664"/>
      <c r="H18" s="843">
        <f t="shared" si="3"/>
        <v>8</v>
      </c>
      <c r="I18" s="828"/>
      <c r="J18" s="664"/>
      <c r="K18" s="843">
        <f t="shared" si="4"/>
        <v>8</v>
      </c>
      <c r="L18" s="664"/>
      <c r="N18" s="843">
        <f t="shared" si="5"/>
        <v>8</v>
      </c>
      <c r="O18" s="664"/>
      <c r="R18" s="664"/>
      <c r="S18" s="664"/>
      <c r="T18" s="843">
        <f t="shared" si="6"/>
        <v>8</v>
      </c>
      <c r="W18" s="843">
        <f t="shared" si="7"/>
        <v>8</v>
      </c>
      <c r="Z18" s="664"/>
      <c r="AA18" s="664"/>
      <c r="AB18" s="664"/>
      <c r="AC18" s="664"/>
      <c r="AD18" s="664"/>
      <c r="AE18" s="843">
        <f t="shared" si="8"/>
        <v>8</v>
      </c>
      <c r="AH18" s="843">
        <f t="shared" si="9"/>
        <v>8</v>
      </c>
      <c r="AK18" s="843">
        <f t="shared" si="10"/>
        <v>8</v>
      </c>
      <c r="AN18" s="843">
        <f t="shared" si="11"/>
        <v>8</v>
      </c>
      <c r="AQ18" s="843">
        <f t="shared" si="12"/>
        <v>8</v>
      </c>
      <c r="AT18" s="843">
        <f t="shared" si="13"/>
        <v>8</v>
      </c>
      <c r="AX18" s="843">
        <f t="shared" si="14"/>
        <v>8</v>
      </c>
    </row>
    <row r="19" spans="2:50">
      <c r="B19" s="843">
        <f t="shared" si="1"/>
        <v>9</v>
      </c>
      <c r="C19" s="828"/>
      <c r="D19" s="530"/>
      <c r="E19" s="843">
        <f t="shared" si="2"/>
        <v>9</v>
      </c>
      <c r="F19" s="909">
        <v>0.04</v>
      </c>
      <c r="G19" s="664"/>
      <c r="H19" s="843">
        <f t="shared" si="3"/>
        <v>9</v>
      </c>
      <c r="I19" s="828"/>
      <c r="J19" s="664"/>
      <c r="K19" s="843">
        <f t="shared" si="4"/>
        <v>9</v>
      </c>
      <c r="L19" s="828"/>
      <c r="N19" s="843">
        <f t="shared" si="5"/>
        <v>9</v>
      </c>
      <c r="O19" s="828"/>
      <c r="R19" s="664"/>
      <c r="S19" s="664"/>
      <c r="T19" s="843">
        <f t="shared" si="6"/>
        <v>9</v>
      </c>
      <c r="W19" s="843">
        <f t="shared" si="7"/>
        <v>9</v>
      </c>
      <c r="Z19" s="664"/>
      <c r="AA19" s="664"/>
      <c r="AB19" s="664"/>
      <c r="AC19" s="664"/>
      <c r="AD19" s="664"/>
      <c r="AE19" s="843">
        <f t="shared" si="8"/>
        <v>9</v>
      </c>
      <c r="AH19" s="843">
        <f t="shared" si="9"/>
        <v>9</v>
      </c>
      <c r="AK19" s="843">
        <f t="shared" si="10"/>
        <v>9</v>
      </c>
      <c r="AN19" s="843">
        <f t="shared" si="11"/>
        <v>9</v>
      </c>
      <c r="AQ19" s="843">
        <f t="shared" si="12"/>
        <v>9</v>
      </c>
      <c r="AT19" s="843">
        <f t="shared" si="13"/>
        <v>9</v>
      </c>
      <c r="AX19" s="843">
        <f t="shared" si="14"/>
        <v>9</v>
      </c>
    </row>
    <row r="20" spans="2:50">
      <c r="B20" s="843">
        <f t="shared" si="1"/>
        <v>10</v>
      </c>
      <c r="D20" s="548"/>
      <c r="E20" s="843">
        <f t="shared" si="2"/>
        <v>10</v>
      </c>
      <c r="H20" s="843">
        <f t="shared" si="3"/>
        <v>10</v>
      </c>
      <c r="K20" s="843">
        <f t="shared" si="4"/>
        <v>10</v>
      </c>
      <c r="N20" s="843">
        <f t="shared" si="5"/>
        <v>10</v>
      </c>
      <c r="T20" s="843">
        <f t="shared" si="6"/>
        <v>10</v>
      </c>
      <c r="W20" s="843">
        <f t="shared" si="7"/>
        <v>10</v>
      </c>
      <c r="AE20" s="843">
        <f t="shared" si="8"/>
        <v>10</v>
      </c>
      <c r="AH20" s="843">
        <f t="shared" si="9"/>
        <v>10</v>
      </c>
      <c r="AK20" s="843">
        <f t="shared" si="10"/>
        <v>10</v>
      </c>
      <c r="AN20" s="843">
        <f t="shared" si="11"/>
        <v>10</v>
      </c>
      <c r="AQ20" s="843">
        <f t="shared" si="12"/>
        <v>10</v>
      </c>
      <c r="AT20" s="843">
        <f t="shared" si="13"/>
        <v>10</v>
      </c>
      <c r="AX20" s="843">
        <f t="shared" si="14"/>
        <v>10</v>
      </c>
    </row>
    <row r="21" spans="2:50">
      <c r="B21" s="843">
        <f t="shared" si="1"/>
        <v>11</v>
      </c>
      <c r="E21" s="843">
        <f t="shared" si="2"/>
        <v>11</v>
      </c>
      <c r="H21" s="843">
        <f t="shared" si="3"/>
        <v>11</v>
      </c>
      <c r="K21" s="843">
        <f t="shared" si="4"/>
        <v>11</v>
      </c>
      <c r="L21" s="13"/>
      <c r="N21" s="843">
        <f t="shared" si="5"/>
        <v>11</v>
      </c>
      <c r="O21" s="13"/>
      <c r="R21" s="664"/>
      <c r="S21" s="664"/>
      <c r="T21" s="843">
        <f t="shared" si="6"/>
        <v>11</v>
      </c>
      <c r="W21" s="843">
        <f t="shared" si="7"/>
        <v>11</v>
      </c>
      <c r="Z21" s="664"/>
      <c r="AA21" s="664"/>
      <c r="AB21" s="664"/>
      <c r="AC21" s="664"/>
      <c r="AD21" s="664"/>
      <c r="AE21" s="843">
        <f t="shared" si="8"/>
        <v>11</v>
      </c>
      <c r="AH21" s="843">
        <f t="shared" si="9"/>
        <v>11</v>
      </c>
      <c r="AK21" s="843">
        <f t="shared" si="10"/>
        <v>11</v>
      </c>
      <c r="AN21" s="843">
        <f t="shared" si="11"/>
        <v>11</v>
      </c>
      <c r="AQ21" s="843">
        <f t="shared" si="12"/>
        <v>11</v>
      </c>
      <c r="AT21" s="843">
        <f t="shared" si="13"/>
        <v>11</v>
      </c>
      <c r="AX21" s="843">
        <f t="shared" si="14"/>
        <v>11</v>
      </c>
    </row>
    <row r="22" spans="2:50">
      <c r="B22" s="843">
        <f>B21+1</f>
        <v>12</v>
      </c>
      <c r="E22" s="843">
        <f>E21+1</f>
        <v>12</v>
      </c>
      <c r="H22" s="843">
        <f>H21+1</f>
        <v>12</v>
      </c>
      <c r="K22" s="843">
        <f>K21+1</f>
        <v>12</v>
      </c>
      <c r="N22" s="843">
        <f>N21+1</f>
        <v>12</v>
      </c>
      <c r="R22" s="664"/>
      <c r="S22" s="664"/>
      <c r="T22" s="843">
        <f>T21+1</f>
        <v>12</v>
      </c>
      <c r="W22" s="843">
        <f>W21+1</f>
        <v>12</v>
      </c>
      <c r="Z22" s="664"/>
      <c r="AA22" s="664"/>
      <c r="AB22" s="664"/>
      <c r="AC22" s="664"/>
      <c r="AD22" s="664"/>
      <c r="AE22" s="843">
        <f>AE21+1</f>
        <v>12</v>
      </c>
      <c r="AH22" s="843">
        <f>AH21+1</f>
        <v>12</v>
      </c>
      <c r="AK22" s="843">
        <f>AK21+1</f>
        <v>12</v>
      </c>
      <c r="AN22" s="843">
        <f>AN21+1</f>
        <v>12</v>
      </c>
      <c r="AQ22" s="843">
        <f>AQ21+1</f>
        <v>12</v>
      </c>
      <c r="AT22" s="843">
        <f>AT21+1</f>
        <v>12</v>
      </c>
      <c r="AX22" s="843">
        <f>AX21+1</f>
        <v>12</v>
      </c>
    </row>
    <row r="24" spans="2:50">
      <c r="R24" s="664"/>
      <c r="S24" s="664"/>
      <c r="Z24" s="664"/>
      <c r="AA24" s="664"/>
      <c r="AB24" s="664"/>
      <c r="AC24" s="664"/>
      <c r="AD24" s="664"/>
    </row>
    <row r="25" spans="2:50">
      <c r="R25" s="664"/>
      <c r="S25" s="664"/>
      <c r="Z25" s="664"/>
      <c r="AA25" s="664"/>
      <c r="AB25" s="664"/>
      <c r="AC25" s="664"/>
      <c r="AD25" s="664"/>
    </row>
    <row r="26" spans="2:50">
      <c r="R26" s="664"/>
      <c r="S26" s="664"/>
      <c r="Z26" s="664"/>
      <c r="AA26" s="664"/>
      <c r="AB26" s="664"/>
      <c r="AC26" s="664"/>
      <c r="AD26" s="664"/>
    </row>
    <row r="27" spans="2:50">
      <c r="R27" s="664"/>
      <c r="S27" s="664"/>
      <c r="Z27" s="664"/>
      <c r="AA27" s="664"/>
      <c r="AB27" s="664"/>
      <c r="AC27" s="664"/>
      <c r="AD27" s="664"/>
    </row>
    <row r="28" spans="2:50">
      <c r="R28" s="664"/>
      <c r="S28" s="664"/>
      <c r="Z28" s="664"/>
      <c r="AA28" s="664"/>
      <c r="AB28" s="664"/>
      <c r="AC28" s="664"/>
      <c r="AD28" s="664"/>
    </row>
    <row r="29" spans="2:50">
      <c r="R29" s="664"/>
      <c r="S29" s="664"/>
      <c r="Z29" s="664"/>
      <c r="AA29" s="664"/>
      <c r="AB29" s="664"/>
      <c r="AC29" s="664"/>
      <c r="AD29" s="664"/>
    </row>
  </sheetData>
  <sortState xmlns:xlrd2="http://schemas.microsoft.com/office/spreadsheetml/2017/richdata2" ref="AO11:AO15">
    <sortCondition descending="1" ref="AO11"/>
  </sortState>
  <mergeCells count="1">
    <mergeCell ref="Z8:AD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7" r:id="rId3" name="Drop Down 1">
              <controlPr defaultSize="0" autoLine="0" autoPict="0">
                <anchor moveWithCells="1">
                  <from>
                    <xdr:col>3</xdr:col>
                    <xdr:colOff>101600</xdr:colOff>
                    <xdr:row>9</xdr:row>
                    <xdr:rowOff>50800</xdr:rowOff>
                  </from>
                  <to>
                    <xdr:col>3</xdr:col>
                    <xdr:colOff>647700</xdr:colOff>
                    <xdr:row>9</xdr:row>
                    <xdr:rowOff>215900</xdr:rowOff>
                  </to>
                </anchor>
              </controlPr>
            </control>
          </mc:Choice>
        </mc:AlternateContent>
        <mc:AlternateContent xmlns:mc="http://schemas.openxmlformats.org/markup-compatibility/2006">
          <mc:Choice Requires="x14">
            <control shapeId="86018" r:id="rId4" name="Drop Down 2">
              <controlPr defaultSize="0" autoLine="0" autoPict="0">
                <anchor moveWithCells="1">
                  <from>
                    <xdr:col>6</xdr:col>
                    <xdr:colOff>63500</xdr:colOff>
                    <xdr:row>9</xdr:row>
                    <xdr:rowOff>50800</xdr:rowOff>
                  </from>
                  <to>
                    <xdr:col>6</xdr:col>
                    <xdr:colOff>952500</xdr:colOff>
                    <xdr:row>9</xdr:row>
                    <xdr:rowOff>215900</xdr:rowOff>
                  </to>
                </anchor>
              </controlPr>
            </control>
          </mc:Choice>
        </mc:AlternateContent>
        <mc:AlternateContent xmlns:mc="http://schemas.openxmlformats.org/markup-compatibility/2006">
          <mc:Choice Requires="x14">
            <control shapeId="86019" r:id="rId5" name="Drop Down 3">
              <controlPr defaultSize="0" autoLine="0" autoPict="0">
                <anchor moveWithCells="1">
                  <from>
                    <xdr:col>21</xdr:col>
                    <xdr:colOff>63500</xdr:colOff>
                    <xdr:row>9</xdr:row>
                    <xdr:rowOff>63500</xdr:rowOff>
                  </from>
                  <to>
                    <xdr:col>21</xdr:col>
                    <xdr:colOff>939800</xdr:colOff>
                    <xdr:row>9</xdr:row>
                    <xdr:rowOff>190500</xdr:rowOff>
                  </to>
                </anchor>
              </controlPr>
            </control>
          </mc:Choice>
        </mc:AlternateContent>
        <mc:AlternateContent xmlns:mc="http://schemas.openxmlformats.org/markup-compatibility/2006">
          <mc:Choice Requires="x14">
            <control shapeId="86021" r:id="rId6" name="Drop Down 5">
              <controlPr defaultSize="0" autoLine="0" autoPict="0">
                <anchor moveWithCells="1">
                  <from>
                    <xdr:col>9</xdr:col>
                    <xdr:colOff>63500</xdr:colOff>
                    <xdr:row>9</xdr:row>
                    <xdr:rowOff>50800</xdr:rowOff>
                  </from>
                  <to>
                    <xdr:col>9</xdr:col>
                    <xdr:colOff>571500</xdr:colOff>
                    <xdr:row>9</xdr:row>
                    <xdr:rowOff>215900</xdr:rowOff>
                  </to>
                </anchor>
              </controlPr>
            </control>
          </mc:Choice>
        </mc:AlternateContent>
        <mc:AlternateContent xmlns:mc="http://schemas.openxmlformats.org/markup-compatibility/2006">
          <mc:Choice Requires="x14">
            <control shapeId="86022" r:id="rId7" name="Drop Down 6">
              <controlPr defaultSize="0" autoLine="0" autoPict="0">
                <anchor moveWithCells="1">
                  <from>
                    <xdr:col>24</xdr:col>
                    <xdr:colOff>63500</xdr:colOff>
                    <xdr:row>9</xdr:row>
                    <xdr:rowOff>50800</xdr:rowOff>
                  </from>
                  <to>
                    <xdr:col>24</xdr:col>
                    <xdr:colOff>1371600</xdr:colOff>
                    <xdr:row>9</xdr:row>
                    <xdr:rowOff>190500</xdr:rowOff>
                  </to>
                </anchor>
              </controlPr>
            </control>
          </mc:Choice>
        </mc:AlternateContent>
        <mc:AlternateContent xmlns:mc="http://schemas.openxmlformats.org/markup-compatibility/2006">
          <mc:Choice Requires="x14">
            <control shapeId="86024" r:id="rId8" name="Drop Down 8">
              <controlPr defaultSize="0" autoLine="0" autoPict="0">
                <anchor moveWithCells="1">
                  <from>
                    <xdr:col>15</xdr:col>
                    <xdr:colOff>38100</xdr:colOff>
                    <xdr:row>9</xdr:row>
                    <xdr:rowOff>38100</xdr:rowOff>
                  </from>
                  <to>
                    <xdr:col>16</xdr:col>
                    <xdr:colOff>444500</xdr:colOff>
                    <xdr:row>9</xdr:row>
                    <xdr:rowOff>254000</xdr:rowOff>
                  </to>
                </anchor>
              </controlPr>
            </control>
          </mc:Choice>
        </mc:AlternateContent>
        <mc:AlternateContent xmlns:mc="http://schemas.openxmlformats.org/markup-compatibility/2006">
          <mc:Choice Requires="x14">
            <control shapeId="86025" r:id="rId9" name="Drop Down 9">
              <controlPr defaultSize="0" autoLine="0" autoPict="0">
                <anchor moveWithCells="1">
                  <from>
                    <xdr:col>32</xdr:col>
                    <xdr:colOff>63500</xdr:colOff>
                    <xdr:row>9</xdr:row>
                    <xdr:rowOff>50800</xdr:rowOff>
                  </from>
                  <to>
                    <xdr:col>32</xdr:col>
                    <xdr:colOff>596900</xdr:colOff>
                    <xdr:row>9</xdr:row>
                    <xdr:rowOff>190500</xdr:rowOff>
                  </to>
                </anchor>
              </controlPr>
            </control>
          </mc:Choice>
        </mc:AlternateContent>
        <mc:AlternateContent xmlns:mc="http://schemas.openxmlformats.org/markup-compatibility/2006">
          <mc:Choice Requires="x14">
            <control shapeId="86026" r:id="rId10" name="Drop Down 10">
              <controlPr defaultSize="0" autoLine="0" autoPict="0">
                <anchor moveWithCells="1">
                  <from>
                    <xdr:col>35</xdr:col>
                    <xdr:colOff>63500</xdr:colOff>
                    <xdr:row>9</xdr:row>
                    <xdr:rowOff>63500</xdr:rowOff>
                  </from>
                  <to>
                    <xdr:col>35</xdr:col>
                    <xdr:colOff>939800</xdr:colOff>
                    <xdr:row>9</xdr:row>
                    <xdr:rowOff>203200</xdr:rowOff>
                  </to>
                </anchor>
              </controlPr>
            </control>
          </mc:Choice>
        </mc:AlternateContent>
        <mc:AlternateContent xmlns:mc="http://schemas.openxmlformats.org/markup-compatibility/2006">
          <mc:Choice Requires="x14">
            <control shapeId="86027" r:id="rId11" name="Drop Down 11">
              <controlPr defaultSize="0" autoLine="0" autoPict="0">
                <anchor moveWithCells="1">
                  <from>
                    <xdr:col>12</xdr:col>
                    <xdr:colOff>38100</xdr:colOff>
                    <xdr:row>9</xdr:row>
                    <xdr:rowOff>38100</xdr:rowOff>
                  </from>
                  <to>
                    <xdr:col>12</xdr:col>
                    <xdr:colOff>584200</xdr:colOff>
                    <xdr:row>9</xdr:row>
                    <xdr:rowOff>190500</xdr:rowOff>
                  </to>
                </anchor>
              </controlPr>
            </control>
          </mc:Choice>
        </mc:AlternateContent>
        <mc:AlternateContent xmlns:mc="http://schemas.openxmlformats.org/markup-compatibility/2006">
          <mc:Choice Requires="x14">
            <control shapeId="86028" r:id="rId12" name="Drop Down 12">
              <controlPr defaultSize="0" autoLine="0" autoPict="0">
                <anchor moveWithCells="1">
                  <from>
                    <xdr:col>41</xdr:col>
                    <xdr:colOff>38100</xdr:colOff>
                    <xdr:row>9</xdr:row>
                    <xdr:rowOff>50800</xdr:rowOff>
                  </from>
                  <to>
                    <xdr:col>41</xdr:col>
                    <xdr:colOff>698500</xdr:colOff>
                    <xdr:row>9</xdr:row>
                    <xdr:rowOff>215900</xdr:rowOff>
                  </to>
                </anchor>
              </controlPr>
            </control>
          </mc:Choice>
        </mc:AlternateContent>
        <mc:AlternateContent xmlns:mc="http://schemas.openxmlformats.org/markup-compatibility/2006">
          <mc:Choice Requires="x14">
            <control shapeId="86029" r:id="rId13" name="Drop Down 13">
              <controlPr defaultSize="0" autoLine="0" autoPict="0">
                <anchor moveWithCells="1">
                  <from>
                    <xdr:col>44</xdr:col>
                    <xdr:colOff>63500</xdr:colOff>
                    <xdr:row>9</xdr:row>
                    <xdr:rowOff>63500</xdr:rowOff>
                  </from>
                  <to>
                    <xdr:col>45</xdr:col>
                    <xdr:colOff>25400</xdr:colOff>
                    <xdr:row>9</xdr:row>
                    <xdr:rowOff>254000</xdr:rowOff>
                  </to>
                </anchor>
              </controlPr>
            </control>
          </mc:Choice>
        </mc:AlternateContent>
        <mc:AlternateContent xmlns:mc="http://schemas.openxmlformats.org/markup-compatibility/2006">
          <mc:Choice Requires="x14">
            <control shapeId="86030" r:id="rId14" name="Drop Down 14">
              <controlPr defaultSize="0" autoLine="0" autoPict="0">
                <anchor moveWithCells="1">
                  <from>
                    <xdr:col>47</xdr:col>
                    <xdr:colOff>63500</xdr:colOff>
                    <xdr:row>9</xdr:row>
                    <xdr:rowOff>38100</xdr:rowOff>
                  </from>
                  <to>
                    <xdr:col>48</xdr:col>
                    <xdr:colOff>152400</xdr:colOff>
                    <xdr:row>9</xdr:row>
                    <xdr:rowOff>254000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tabColor rgb="FFFFC000"/>
  </sheetPr>
  <dimension ref="A1:U113"/>
  <sheetViews>
    <sheetView zoomScale="80" zoomScaleNormal="80" workbookViewId="0">
      <selection activeCell="H35" sqref="H35"/>
    </sheetView>
  </sheetViews>
  <sheetFormatPr baseColWidth="10" defaultColWidth="8.83203125" defaultRowHeight="13" outlineLevelRow="1"/>
  <cols>
    <col min="1" max="1" width="2.83203125" customWidth="1"/>
    <col min="2" max="2" width="3.33203125" style="119" customWidth="1"/>
    <col min="3" max="3" width="5.6640625" customWidth="1"/>
    <col min="4" max="4" width="33.33203125" customWidth="1"/>
    <col min="5" max="5" width="8.5" customWidth="1"/>
    <col min="7" max="7" width="7.1640625" customWidth="1"/>
    <col min="8" max="8" width="14.1640625" customWidth="1"/>
    <col min="10" max="10" width="12.5" customWidth="1"/>
  </cols>
  <sheetData>
    <row r="1" spans="1:21" ht="4.5" customHeight="1"/>
    <row r="2" spans="1:21" ht="4.5" customHeight="1">
      <c r="B2"/>
      <c r="C2" s="119"/>
    </row>
    <row r="3" spans="1:21" s="494" customFormat="1" ht="34.5" customHeight="1">
      <c r="A3" s="494" t="s">
        <v>444</v>
      </c>
      <c r="D3" s="495"/>
      <c r="E3" s="495"/>
      <c r="F3" s="495"/>
      <c r="G3" s="495"/>
      <c r="H3" s="495"/>
      <c r="I3" s="495"/>
      <c r="L3" s="495"/>
      <c r="O3" s="495"/>
    </row>
    <row r="4" spans="1:21" ht="16">
      <c r="B4" s="1534" t="s">
        <v>806</v>
      </c>
      <c r="C4" s="1534"/>
      <c r="D4" s="1534"/>
      <c r="E4" s="495"/>
      <c r="F4" s="495"/>
      <c r="G4" s="495"/>
      <c r="H4" s="1"/>
      <c r="I4" s="1"/>
      <c r="L4" s="1"/>
      <c r="O4" s="1"/>
    </row>
    <row r="5" spans="1:21" ht="6" customHeight="1">
      <c r="B5" s="496"/>
      <c r="C5" s="496"/>
      <c r="D5" s="496"/>
      <c r="E5" s="495"/>
      <c r="F5" s="495"/>
      <c r="G5" s="495"/>
      <c r="H5" s="1"/>
      <c r="I5" s="1"/>
      <c r="L5" s="1"/>
      <c r="O5" s="1"/>
    </row>
    <row r="6" spans="1:21" s="6" customFormat="1" ht="17.25" customHeight="1">
      <c r="B6" s="901" t="s">
        <v>668</v>
      </c>
      <c r="C6" s="899"/>
      <c r="D6" s="900"/>
      <c r="E6" s="495"/>
      <c r="F6" s="495"/>
      <c r="G6" s="495"/>
      <c r="H6" s="407"/>
      <c r="I6" s="407"/>
    </row>
    <row r="7" spans="1:21" ht="6" customHeight="1">
      <c r="B7" s="496"/>
      <c r="C7" s="496"/>
      <c r="D7" s="496"/>
      <c r="E7" s="495"/>
      <c r="F7" s="495"/>
      <c r="G7" s="495"/>
      <c r="H7" s="407"/>
      <c r="I7" s="407"/>
      <c r="L7" s="1"/>
      <c r="O7" s="1"/>
    </row>
    <row r="8" spans="1:21" s="6" customFormat="1" ht="17.25" customHeight="1">
      <c r="B8" s="901" t="str">
        <f>'DropDown menus'!$L$3</f>
        <v>AZA Perfs (Costs &amp; SceLife)</v>
      </c>
      <c r="C8" s="899"/>
      <c r="D8" s="900"/>
    </row>
    <row r="9" spans="1:21" ht="6" customHeight="1">
      <c r="B9" s="496"/>
      <c r="C9" s="496"/>
      <c r="D9" s="496"/>
      <c r="E9" s="495"/>
      <c r="F9" s="495"/>
      <c r="G9" s="495"/>
      <c r="H9" s="1"/>
      <c r="I9" s="1"/>
      <c r="L9" s="1"/>
      <c r="O9" s="1"/>
    </row>
    <row r="10" spans="1:21" s="6" customFormat="1" ht="17.25" customHeight="1">
      <c r="B10" s="901" t="str">
        <f>'DropDown menus'!$X$3</f>
        <v>Region</v>
      </c>
      <c r="C10" s="899"/>
      <c r="D10" s="900"/>
    </row>
    <row r="11" spans="1:21" s="119" customFormat="1"/>
    <row r="12" spans="1:21">
      <c r="B12" s="456" t="s">
        <v>362</v>
      </c>
      <c r="C12" s="459"/>
      <c r="D12" s="459"/>
      <c r="E12" s="457">
        <f ca="1">E60</f>
        <v>4.8620463157894749</v>
      </c>
      <c r="F12" s="456" t="s">
        <v>354</v>
      </c>
      <c r="G12" s="456"/>
      <c r="H12" s="459"/>
    </row>
    <row r="13" spans="1:21">
      <c r="B13" s="456"/>
      <c r="C13" s="459"/>
      <c r="D13" s="459"/>
      <c r="E13" s="456">
        <f>E52</f>
        <v>15</v>
      </c>
      <c r="F13" s="456" t="s">
        <v>363</v>
      </c>
      <c r="G13" s="456"/>
      <c r="H13" s="459"/>
    </row>
    <row r="14" spans="1:21" ht="14" thickBot="1">
      <c r="B14" s="375"/>
    </row>
    <row r="15" spans="1:21" ht="14" outlineLevel="1" thickTop="1">
      <c r="E15" s="255"/>
      <c r="K15" s="1036"/>
      <c r="L15" s="1037"/>
      <c r="M15" s="1037"/>
      <c r="N15" s="1037"/>
      <c r="O15" s="1037"/>
      <c r="P15" s="1037"/>
      <c r="Q15" s="1037"/>
      <c r="R15" s="1037"/>
      <c r="S15" s="1037"/>
      <c r="T15" s="1037"/>
      <c r="U15" s="1038"/>
    </row>
    <row r="16" spans="1:21" outlineLevel="1">
      <c r="K16" s="1039"/>
      <c r="L16" s="1040"/>
      <c r="M16" s="1040"/>
      <c r="N16" s="1040"/>
      <c r="O16" s="1040"/>
      <c r="P16" s="1040"/>
      <c r="Q16" s="1040"/>
      <c r="R16" s="1040"/>
      <c r="S16" s="1040"/>
      <c r="T16" s="1040"/>
      <c r="U16" s="1041"/>
    </row>
    <row r="17" spans="2:21" outlineLevel="1">
      <c r="B17" s="456" t="s">
        <v>390</v>
      </c>
      <c r="C17" s="459"/>
      <c r="D17" s="459"/>
      <c r="E17" s="458">
        <f ca="1">E19</f>
        <v>50.122799999999998</v>
      </c>
      <c r="F17" s="456" t="str">
        <f>F19</f>
        <v>kWh</v>
      </c>
      <c r="K17" s="1039"/>
      <c r="L17" s="1040"/>
      <c r="M17" s="1040"/>
      <c r="N17" s="1040"/>
      <c r="O17" s="1040"/>
      <c r="P17" s="1040"/>
      <c r="Q17" s="1040"/>
      <c r="R17" s="1040"/>
      <c r="S17" s="1040"/>
      <c r="T17" s="1040"/>
      <c r="U17" s="1041"/>
    </row>
    <row r="18" spans="2:21" outlineLevel="1">
      <c r="C18" s="466" t="s">
        <v>391</v>
      </c>
      <c r="D18" s="466"/>
      <c r="E18" s="472">
        <v>30</v>
      </c>
      <c r="F18" s="466" t="s">
        <v>256</v>
      </c>
      <c r="K18" s="1039"/>
      <c r="L18" s="1040"/>
      <c r="M18" s="1040"/>
      <c r="N18" s="1040"/>
      <c r="O18" s="1040"/>
      <c r="P18" s="1040"/>
      <c r="Q18" s="1040"/>
      <c r="R18" s="1040"/>
      <c r="S18" s="1040"/>
      <c r="T18" s="1040"/>
      <c r="U18" s="1041"/>
    </row>
    <row r="19" spans="2:21" outlineLevel="1">
      <c r="C19" s="467" t="s">
        <v>392</v>
      </c>
      <c r="D19" s="467"/>
      <c r="E19" s="468">
        <f ca="1">Packs!E40*E18/1000</f>
        <v>50.122799999999998</v>
      </c>
      <c r="F19" s="467" t="s">
        <v>266</v>
      </c>
      <c r="K19" s="1039"/>
      <c r="L19" s="1040"/>
      <c r="M19" s="1040"/>
      <c r="N19" s="1040"/>
      <c r="O19" s="1040"/>
      <c r="P19" s="1040"/>
      <c r="Q19" s="1040"/>
      <c r="R19" s="1040"/>
      <c r="S19" s="1040"/>
      <c r="T19" s="1040"/>
      <c r="U19" s="1041"/>
    </row>
    <row r="20" spans="2:21" outlineLevel="1">
      <c r="C20" s="466" t="s">
        <v>19</v>
      </c>
      <c r="D20" s="466"/>
      <c r="E20" s="469">
        <f ca="1">E18*Packs!E37</f>
        <v>685.43999999999994</v>
      </c>
      <c r="F20" s="466" t="s">
        <v>263</v>
      </c>
      <c r="K20" s="1039"/>
      <c r="L20" s="1040"/>
      <c r="M20" s="1040"/>
      <c r="N20" s="1040"/>
      <c r="O20" s="1040"/>
      <c r="P20" s="1040"/>
      <c r="Q20" s="1040"/>
      <c r="R20" s="1040"/>
      <c r="S20" s="1040"/>
      <c r="T20" s="1040"/>
      <c r="U20" s="1041"/>
    </row>
    <row r="21" spans="2:21" outlineLevel="1">
      <c r="C21" s="466" t="s">
        <v>17</v>
      </c>
      <c r="D21" s="466"/>
      <c r="E21" s="469">
        <f ca="1">E18*Packs!E39</f>
        <v>848.23199999999997</v>
      </c>
      <c r="F21" s="466" t="s">
        <v>131</v>
      </c>
      <c r="K21" s="1039"/>
      <c r="L21" s="1040"/>
      <c r="M21" s="1040"/>
      <c r="N21" s="1040"/>
      <c r="O21" s="1040"/>
      <c r="P21" s="1040"/>
      <c r="Q21" s="1040"/>
      <c r="R21" s="1040"/>
      <c r="S21" s="1040"/>
      <c r="T21" s="1040"/>
      <c r="U21" s="1041"/>
    </row>
    <row r="22" spans="2:21" ht="15" outlineLevel="1">
      <c r="C22" s="466" t="s">
        <v>445</v>
      </c>
      <c r="D22" s="466"/>
      <c r="E22" s="470">
        <f ca="1">E19*G22</f>
        <v>10.007664761070577</v>
      </c>
      <c r="F22" s="466" t="s">
        <v>175</v>
      </c>
      <c r="G22" s="454">
        <f>AirConsumption!C20</f>
        <v>0.19966292308232136</v>
      </c>
      <c r="H22" t="s">
        <v>446</v>
      </c>
      <c r="K22" s="1039"/>
      <c r="L22" s="1040"/>
      <c r="M22" s="1040"/>
      <c r="N22" s="1040"/>
      <c r="O22" s="1040"/>
      <c r="P22" s="1040"/>
      <c r="Q22" s="1040"/>
      <c r="R22" s="1040"/>
      <c r="S22" s="1040"/>
      <c r="T22" s="1040"/>
      <c r="U22" s="1041"/>
    </row>
    <row r="23" spans="2:21" outlineLevel="1">
      <c r="K23" s="1039"/>
      <c r="L23" s="1040"/>
      <c r="M23" s="1040"/>
      <c r="N23" s="1040"/>
      <c r="O23" s="1040"/>
      <c r="P23" s="1040"/>
      <c r="Q23" s="1040"/>
      <c r="R23" s="1040"/>
      <c r="S23" s="1040"/>
      <c r="T23" s="1040"/>
      <c r="U23" s="1041"/>
    </row>
    <row r="24" spans="2:21" outlineLevel="1">
      <c r="B24" s="119" t="s">
        <v>393</v>
      </c>
      <c r="K24" s="1039"/>
      <c r="L24" s="1040"/>
      <c r="M24" s="1040"/>
      <c r="N24" s="1040"/>
      <c r="O24" s="1040"/>
      <c r="P24" s="1040"/>
      <c r="Q24" s="1040"/>
      <c r="R24" s="1040"/>
      <c r="S24" s="1040"/>
      <c r="T24" s="1040"/>
      <c r="U24" s="1041"/>
    </row>
    <row r="25" spans="2:21" outlineLevel="1">
      <c r="C25" t="s">
        <v>258</v>
      </c>
      <c r="E25" s="455">
        <v>1850</v>
      </c>
      <c r="F25" t="s">
        <v>255</v>
      </c>
      <c r="G25" s="455">
        <v>5</v>
      </c>
      <c r="K25" s="1039"/>
      <c r="L25" s="1040"/>
      <c r="M25" s="1040"/>
      <c r="N25" s="1040"/>
      <c r="O25" s="1040"/>
      <c r="P25" s="1040"/>
      <c r="Q25" s="1040"/>
      <c r="R25" s="1040"/>
      <c r="S25" s="1040"/>
      <c r="T25" s="1040"/>
      <c r="U25" s="1041"/>
    </row>
    <row r="26" spans="2:21" outlineLevel="1">
      <c r="C26" t="s">
        <v>314</v>
      </c>
      <c r="E26" s="455">
        <v>350</v>
      </c>
      <c r="F26" t="s">
        <v>255</v>
      </c>
      <c r="G26" s="455">
        <v>5</v>
      </c>
      <c r="K26" s="1039"/>
      <c r="L26" s="1042" t="s">
        <v>419</v>
      </c>
      <c r="M26" s="1040"/>
      <c r="N26" s="1040"/>
      <c r="O26" s="1040"/>
      <c r="P26" s="1040"/>
      <c r="Q26" s="1040"/>
      <c r="R26" s="1040"/>
      <c r="S26" s="1040"/>
      <c r="T26" s="1040"/>
      <c r="U26" s="1041"/>
    </row>
    <row r="27" spans="2:21" outlineLevel="1">
      <c r="C27" t="s">
        <v>259</v>
      </c>
      <c r="E27" s="455">
        <v>800</v>
      </c>
      <c r="F27" t="s">
        <v>255</v>
      </c>
      <c r="G27" s="455">
        <v>5</v>
      </c>
      <c r="K27" s="1039"/>
      <c r="L27" s="1042" t="s">
        <v>418</v>
      </c>
      <c r="M27" s="1040"/>
      <c r="N27" s="1040"/>
      <c r="O27" s="1040"/>
      <c r="P27" s="1040"/>
      <c r="Q27" s="1040"/>
      <c r="R27" s="1040"/>
      <c r="S27" s="1040"/>
      <c r="T27" s="1040"/>
      <c r="U27" s="1041"/>
    </row>
    <row r="28" spans="2:21">
      <c r="C28" s="13" t="s">
        <v>19</v>
      </c>
      <c r="E28">
        <f>E27*E26*E25/1000000000</f>
        <v>0.51800000000000002</v>
      </c>
      <c r="F28" t="s">
        <v>175</v>
      </c>
      <c r="K28" s="1039"/>
      <c r="L28" s="1040"/>
      <c r="M28" s="1040"/>
      <c r="N28" s="1040"/>
      <c r="O28" s="1040"/>
      <c r="P28" s="1040"/>
      <c r="Q28" s="1040"/>
      <c r="R28" s="1040"/>
      <c r="S28" s="1040"/>
      <c r="T28" s="1040"/>
      <c r="U28" s="1041"/>
    </row>
    <row r="29" spans="2:21" outlineLevel="1">
      <c r="C29" t="s">
        <v>261</v>
      </c>
      <c r="E29" s="1174">
        <f>(E27-2*G27)*(E25-2*G25)*(E26-2*G26) / 1000^3</f>
        <v>0.494224</v>
      </c>
      <c r="F29" t="s">
        <v>175</v>
      </c>
      <c r="K29" s="1039"/>
      <c r="L29" s="1040"/>
      <c r="M29" s="1040"/>
      <c r="N29" s="1040"/>
      <c r="O29" s="1040"/>
      <c r="P29" s="1040"/>
      <c r="Q29" s="1040"/>
      <c r="R29" s="1040"/>
      <c r="S29" s="1040"/>
      <c r="T29" s="1040"/>
      <c r="U29" s="1041"/>
    </row>
    <row r="30" spans="2:21" outlineLevel="1">
      <c r="C30" t="s">
        <v>253</v>
      </c>
      <c r="E30" s="465">
        <f ca="1">1+FLOOR(H30+0.8,1)</f>
        <v>22</v>
      </c>
      <c r="F30" t="s">
        <v>373</v>
      </c>
      <c r="H30" s="1173">
        <f ca="1">E22/E29</f>
        <v>20.249248844796242</v>
      </c>
      <c r="K30" s="1039"/>
      <c r="L30" s="1040"/>
      <c r="M30" s="1040"/>
      <c r="N30" s="1040"/>
      <c r="O30" s="1040"/>
      <c r="P30" s="1040"/>
      <c r="Q30" s="1040"/>
      <c r="R30" s="1040"/>
      <c r="S30" s="1040"/>
      <c r="T30" s="1040"/>
      <c r="U30" s="1041"/>
    </row>
    <row r="31" spans="2:21" outlineLevel="1">
      <c r="C31" t="s">
        <v>394</v>
      </c>
      <c r="E31" s="412">
        <f ca="1">E29*(E30-1)</f>
        <v>10.378703999999999</v>
      </c>
      <c r="F31" t="s">
        <v>175</v>
      </c>
      <c r="H31" s="1535" t="s">
        <v>447</v>
      </c>
      <c r="I31" s="1535"/>
      <c r="J31" s="1536"/>
      <c r="K31" s="1039"/>
      <c r="L31" s="1040"/>
      <c r="M31" s="1040"/>
      <c r="N31" s="1040"/>
      <c r="O31" s="1040"/>
      <c r="P31" s="1040"/>
      <c r="Q31" s="1040"/>
      <c r="R31" s="1040"/>
      <c r="S31" s="1040"/>
      <c r="T31" s="1040"/>
      <c r="U31" s="1041"/>
    </row>
    <row r="32" spans="2:21">
      <c r="C32" t="s">
        <v>267</v>
      </c>
      <c r="E32" s="412">
        <f ca="1">E30*E29</f>
        <v>10.872928</v>
      </c>
      <c r="F32" t="s">
        <v>175</v>
      </c>
      <c r="H32" s="1535"/>
      <c r="I32" s="1535"/>
      <c r="J32" s="1536"/>
      <c r="K32" s="1039"/>
      <c r="L32" s="1040"/>
      <c r="M32" s="1040"/>
      <c r="N32" s="1040"/>
      <c r="O32" s="1040"/>
      <c r="P32" s="1040"/>
      <c r="Q32" s="1040"/>
      <c r="R32" s="1040"/>
      <c r="S32" s="1040"/>
      <c r="T32" s="1040"/>
      <c r="U32" s="1041"/>
    </row>
    <row r="33" spans="2:21">
      <c r="C33" s="456" t="s">
        <v>367</v>
      </c>
      <c r="D33" s="456"/>
      <c r="E33" s="458">
        <f ca="1">E30*E27*E25/1000000</f>
        <v>32.56</v>
      </c>
      <c r="F33" s="456" t="s">
        <v>92</v>
      </c>
      <c r="K33" s="1039"/>
      <c r="L33" s="1040"/>
      <c r="M33" s="1040"/>
      <c r="N33" s="1040"/>
      <c r="O33" s="1040"/>
      <c r="P33" s="1040"/>
      <c r="Q33" s="1040"/>
      <c r="R33" s="1040"/>
      <c r="S33" s="1040"/>
      <c r="T33" s="1040"/>
      <c r="U33" s="1041"/>
    </row>
    <row r="34" spans="2:21">
      <c r="K34" s="1039"/>
      <c r="L34" s="1040"/>
      <c r="M34" s="1040"/>
      <c r="N34" s="1040"/>
      <c r="O34" s="1040"/>
      <c r="P34" s="1040"/>
      <c r="Q34" s="1040"/>
      <c r="R34" s="1040"/>
      <c r="S34" s="1040"/>
      <c r="T34" s="1040"/>
      <c r="U34" s="1041"/>
    </row>
    <row r="35" spans="2:21">
      <c r="E35" s="71"/>
      <c r="G35" s="1184" t="s">
        <v>801</v>
      </c>
      <c r="H35" s="1183" t="s">
        <v>800</v>
      </c>
      <c r="I35" s="1177"/>
      <c r="K35" s="1039"/>
      <c r="L35" s="1040"/>
      <c r="M35" s="1040"/>
      <c r="N35" s="1040"/>
      <c r="O35" s="1040"/>
      <c r="P35" s="1040"/>
      <c r="Q35" s="1040"/>
      <c r="R35" s="1040"/>
      <c r="S35" s="1040"/>
      <c r="T35" s="1040"/>
      <c r="U35" s="1041"/>
    </row>
    <row r="36" spans="2:21" outlineLevel="1">
      <c r="B36" s="119" t="s">
        <v>257</v>
      </c>
      <c r="G36" s="536"/>
      <c r="H36" s="1178"/>
      <c r="I36" s="1179"/>
      <c r="K36" s="1039"/>
      <c r="L36" s="1040"/>
      <c r="M36" s="1040"/>
      <c r="N36" s="1040"/>
      <c r="O36" s="1040"/>
      <c r="P36" s="1040"/>
      <c r="Q36" s="1040"/>
      <c r="R36" s="1040"/>
      <c r="S36" s="1040"/>
      <c r="T36" s="1040"/>
      <c r="U36" s="1041"/>
    </row>
    <row r="37" spans="2:21" outlineLevel="1">
      <c r="C37" t="s">
        <v>258</v>
      </c>
      <c r="E37" s="890">
        <f>G37*H37</f>
        <v>4.8000000000000007</v>
      </c>
      <c r="F37" t="s">
        <v>254</v>
      </c>
      <c r="G37" s="531">
        <v>3</v>
      </c>
      <c r="H37" s="1180">
        <v>1.6</v>
      </c>
      <c r="I37" s="1179" t="s">
        <v>254</v>
      </c>
      <c r="K37" s="1039"/>
      <c r="L37" s="1040"/>
      <c r="M37" s="1040"/>
      <c r="N37" s="1040"/>
      <c r="O37" s="1040"/>
      <c r="P37" s="1040"/>
      <c r="Q37" s="1040"/>
      <c r="R37" s="1040"/>
      <c r="S37" s="1040"/>
      <c r="T37" s="1040"/>
      <c r="U37" s="1041"/>
    </row>
    <row r="38" spans="2:21" outlineLevel="1">
      <c r="C38" t="s">
        <v>259</v>
      </c>
      <c r="E38" s="499">
        <v>2</v>
      </c>
      <c r="F38" t="s">
        <v>254</v>
      </c>
      <c r="G38" s="531">
        <v>2</v>
      </c>
      <c r="H38" s="1180">
        <v>1</v>
      </c>
      <c r="I38" s="1179" t="s">
        <v>254</v>
      </c>
      <c r="K38" s="1039"/>
      <c r="L38" s="1040"/>
      <c r="M38" s="1040"/>
      <c r="N38" s="1040"/>
      <c r="O38" s="1040"/>
      <c r="P38" s="1040"/>
      <c r="Q38" s="1040"/>
      <c r="R38" s="1040"/>
      <c r="S38" s="1040"/>
      <c r="T38" s="1040"/>
      <c r="U38" s="1041"/>
    </row>
    <row r="39" spans="2:21" outlineLevel="1">
      <c r="C39" t="s">
        <v>395</v>
      </c>
      <c r="E39" s="465">
        <v>10</v>
      </c>
      <c r="F39" t="s">
        <v>373</v>
      </c>
      <c r="G39" s="1185">
        <f>G38*G37*E39</f>
        <v>60</v>
      </c>
      <c r="H39" s="1181">
        <v>300</v>
      </c>
      <c r="I39" s="1182" t="s">
        <v>342</v>
      </c>
      <c r="K39" s="1039"/>
      <c r="L39" s="1040"/>
      <c r="M39" s="1040"/>
      <c r="N39" s="1040"/>
      <c r="O39" s="1040"/>
      <c r="P39" s="1040"/>
      <c r="Q39" s="1040"/>
      <c r="R39" s="1040"/>
      <c r="S39" s="1040"/>
      <c r="T39" s="1040"/>
      <c r="U39" s="1041"/>
    </row>
    <row r="40" spans="2:21" outlineLevel="1">
      <c r="C40" s="456" t="s">
        <v>364</v>
      </c>
      <c r="D40" s="456"/>
      <c r="E40" s="458">
        <f>E39*E38*E37</f>
        <v>96.000000000000014</v>
      </c>
      <c r="F40" s="456" t="s">
        <v>92</v>
      </c>
      <c r="K40" s="1039"/>
      <c r="L40" s="1040"/>
      <c r="M40" s="1040"/>
      <c r="N40" s="1040"/>
      <c r="O40" s="1040"/>
      <c r="P40" s="1040"/>
      <c r="Q40" s="1040"/>
      <c r="R40" s="1040"/>
      <c r="S40" s="1040"/>
      <c r="T40" s="1040"/>
      <c r="U40" s="1041"/>
    </row>
    <row r="41" spans="2:21">
      <c r="C41" t="s">
        <v>369</v>
      </c>
      <c r="E41" s="455">
        <v>30</v>
      </c>
      <c r="F41" t="s">
        <v>260</v>
      </c>
      <c r="H41" t="s">
        <v>370</v>
      </c>
      <c r="K41" s="1039"/>
      <c r="L41" s="1040"/>
      <c r="M41" s="1040"/>
      <c r="N41" s="1040"/>
      <c r="O41" s="1040"/>
      <c r="P41" s="1040"/>
      <c r="Q41" s="1040"/>
      <c r="R41" s="1040"/>
      <c r="S41" s="1040"/>
      <c r="T41" s="1040"/>
      <c r="U41" s="1041"/>
    </row>
    <row r="42" spans="2:21">
      <c r="C42" t="s">
        <v>314</v>
      </c>
      <c r="E42" s="412">
        <f>E38*SIN(PI()*E41/180)</f>
        <v>0.99999999999999989</v>
      </c>
      <c r="F42" t="s">
        <v>254</v>
      </c>
      <c r="K42" s="1039"/>
      <c r="L42" s="1040"/>
      <c r="M42" s="1040"/>
      <c r="N42" s="1040"/>
      <c r="O42" s="1040"/>
      <c r="P42" s="1040"/>
      <c r="Q42" s="1040"/>
      <c r="R42" s="1040"/>
      <c r="S42" s="1040"/>
      <c r="T42" s="1040"/>
      <c r="U42" s="1041"/>
    </row>
    <row r="43" spans="2:21">
      <c r="C43" s="119" t="s">
        <v>340</v>
      </c>
      <c r="D43" s="119"/>
      <c r="E43" s="1051">
        <f>G43*E40</f>
        <v>20995.200000000004</v>
      </c>
      <c r="F43" s="119" t="s">
        <v>342</v>
      </c>
      <c r="G43" s="1175">
        <f>I43*I44*H44</f>
        <v>218.70000000000002</v>
      </c>
      <c r="H43" t="s">
        <v>341</v>
      </c>
      <c r="I43" s="460">
        <v>0.18</v>
      </c>
      <c r="J43" t="s">
        <v>865</v>
      </c>
      <c r="K43" s="1039"/>
      <c r="L43" s="1040"/>
      <c r="M43" s="1040"/>
      <c r="N43" s="1040"/>
      <c r="O43" s="1040"/>
      <c r="P43" s="1040"/>
      <c r="Q43" s="1040"/>
      <c r="R43" s="1040"/>
      <c r="S43" s="1040"/>
      <c r="T43" s="1040"/>
      <c r="U43" s="1041"/>
    </row>
    <row r="44" spans="2:21">
      <c r="C44" s="119"/>
      <c r="D44" s="119"/>
      <c r="E44" s="119"/>
      <c r="F44" s="119"/>
      <c r="H44" s="1176">
        <v>0.9</v>
      </c>
      <c r="I44">
        <v>1350</v>
      </c>
      <c r="J44" t="s">
        <v>348</v>
      </c>
      <c r="K44" s="1039"/>
      <c r="L44" s="1040"/>
      <c r="M44" s="1040"/>
      <c r="N44" s="1040"/>
      <c r="O44" s="1040"/>
      <c r="P44" s="1040"/>
      <c r="Q44" s="1040"/>
      <c r="R44" s="1040"/>
      <c r="S44" s="1040"/>
      <c r="T44" s="1040"/>
      <c r="U44" s="1041"/>
    </row>
    <row r="45" spans="2:21">
      <c r="C45" s="119" t="s">
        <v>366</v>
      </c>
      <c r="D45" s="119"/>
      <c r="E45" s="474">
        <f ca="1">E43/1000*G45</f>
        <v>100.77696000000002</v>
      </c>
      <c r="F45" s="119" t="s">
        <v>266</v>
      </c>
      <c r="G45" s="408">
        <f ca="1">'DropDown menus'!Z9</f>
        <v>4.8</v>
      </c>
      <c r="H45" t="s">
        <v>343</v>
      </c>
      <c r="I45" s="455"/>
      <c r="K45" s="1039"/>
      <c r="L45" s="1040"/>
      <c r="M45" s="1040"/>
      <c r="N45" s="1040"/>
      <c r="O45" s="1040"/>
      <c r="P45" s="1040"/>
      <c r="Q45" s="1040"/>
      <c r="R45" s="1040"/>
      <c r="S45" s="1040"/>
      <c r="T45" s="1040"/>
      <c r="U45" s="1041"/>
    </row>
    <row r="46" spans="2:21">
      <c r="E46" s="412"/>
      <c r="G46" s="455"/>
      <c r="I46" s="455"/>
      <c r="K46" s="1039"/>
      <c r="L46" s="1040"/>
      <c r="M46" s="1040"/>
      <c r="N46" s="1040"/>
      <c r="O46" s="1040"/>
      <c r="P46" s="1040"/>
      <c r="Q46" s="1040"/>
      <c r="R46" s="1040"/>
      <c r="S46" s="1040"/>
      <c r="T46" s="1040"/>
      <c r="U46" s="1041"/>
    </row>
    <row r="47" spans="2:21">
      <c r="B47" s="119" t="s">
        <v>367</v>
      </c>
      <c r="E47" s="412"/>
      <c r="G47" s="455"/>
      <c r="I47" s="455"/>
      <c r="K47" s="1039"/>
      <c r="L47" s="1040"/>
      <c r="M47" s="1040"/>
      <c r="N47" s="1040"/>
      <c r="O47" s="1040"/>
      <c r="P47" s="1040"/>
      <c r="Q47" s="1040"/>
      <c r="R47" s="1040"/>
      <c r="S47" s="1040"/>
      <c r="T47" s="1040"/>
      <c r="U47" s="1041"/>
    </row>
    <row r="48" spans="2:21" ht="14" thickBot="1">
      <c r="C48" t="s">
        <v>368</v>
      </c>
      <c r="E48" s="255">
        <v>1.4</v>
      </c>
      <c r="G48" s="455"/>
      <c r="I48" s="455"/>
      <c r="K48" s="1043"/>
      <c r="L48" s="1044"/>
      <c r="M48" s="1044"/>
      <c r="N48" s="1044"/>
      <c r="O48" s="1044"/>
      <c r="P48" s="1044"/>
      <c r="Q48" s="1044"/>
      <c r="R48" s="1044"/>
      <c r="S48" s="1044"/>
      <c r="T48" s="1044"/>
      <c r="U48" s="1045"/>
    </row>
    <row r="49" spans="2:9" ht="14" thickTop="1">
      <c r="C49" s="456" t="s">
        <v>866</v>
      </c>
      <c r="D49" s="456"/>
      <c r="E49" s="458">
        <f>E48*E40</f>
        <v>134.4</v>
      </c>
      <c r="F49" s="456" t="s">
        <v>92</v>
      </c>
      <c r="G49" s="455"/>
      <c r="I49" s="455"/>
    </row>
    <row r="51" spans="2:9">
      <c r="B51" s="119" t="s">
        <v>344</v>
      </c>
    </row>
    <row r="52" spans="2:9">
      <c r="C52" t="s">
        <v>350</v>
      </c>
      <c r="E52" s="465">
        <v>15</v>
      </c>
      <c r="F52" t="s">
        <v>59</v>
      </c>
    </row>
    <row r="53" spans="2:9">
      <c r="C53" t="s">
        <v>345</v>
      </c>
      <c r="E53" s="465">
        <v>8</v>
      </c>
      <c r="F53" t="s">
        <v>59</v>
      </c>
      <c r="H53" t="s">
        <v>867</v>
      </c>
    </row>
    <row r="54" spans="2:9">
      <c r="C54" t="s">
        <v>349</v>
      </c>
      <c r="E54" s="499">
        <f>E52-E53</f>
        <v>7</v>
      </c>
      <c r="F54" t="s">
        <v>59</v>
      </c>
    </row>
    <row r="56" spans="2:9">
      <c r="C56" t="s">
        <v>351</v>
      </c>
      <c r="E56" s="891">
        <f ca="1">'DropDown menus'!AI9</f>
        <v>0.55000000000000004</v>
      </c>
    </row>
    <row r="57" spans="2:9">
      <c r="C57" t="s">
        <v>352</v>
      </c>
      <c r="E57" s="412">
        <f ca="1">E53+E54/E56</f>
        <v>20.727272727272727</v>
      </c>
      <c r="F57" t="s">
        <v>353</v>
      </c>
    </row>
    <row r="59" spans="2:9">
      <c r="B59" s="119" t="s">
        <v>357</v>
      </c>
    </row>
    <row r="60" spans="2:9">
      <c r="C60" s="456" t="s">
        <v>361</v>
      </c>
      <c r="D60" s="456"/>
      <c r="E60" s="457">
        <f ca="1">E45/E57</f>
        <v>4.8620463157894749</v>
      </c>
      <c r="F60" s="456" t="s">
        <v>354</v>
      </c>
    </row>
    <row r="61" spans="2:9">
      <c r="C61" t="s">
        <v>345</v>
      </c>
      <c r="E61" s="412">
        <f ca="1">E60*E53</f>
        <v>38.896370526315799</v>
      </c>
      <c r="F61" t="s">
        <v>266</v>
      </c>
    </row>
    <row r="62" spans="2:9">
      <c r="C62" t="s">
        <v>355</v>
      </c>
      <c r="E62" s="412">
        <f ca="1">E60*E54</f>
        <v>34.034324210526322</v>
      </c>
      <c r="F62" t="s">
        <v>266</v>
      </c>
    </row>
    <row r="63" spans="2:9">
      <c r="C63" s="456" t="s">
        <v>365</v>
      </c>
      <c r="D63" s="456"/>
      <c r="E63" s="458">
        <f ca="1">E62+E61</f>
        <v>72.930694736842128</v>
      </c>
      <c r="F63" s="456" t="s">
        <v>266</v>
      </c>
    </row>
    <row r="64" spans="2:9">
      <c r="C64" t="s">
        <v>356</v>
      </c>
      <c r="E64" s="412">
        <f ca="1">E45-E61-E62</f>
        <v>27.846265263157896</v>
      </c>
      <c r="F64" t="s">
        <v>266</v>
      </c>
    </row>
    <row r="66" spans="1:10">
      <c r="B66" s="119" t="s">
        <v>358</v>
      </c>
    </row>
    <row r="67" spans="1:10">
      <c r="C67" t="s">
        <v>359</v>
      </c>
      <c r="E67" s="410">
        <f ca="1">E62/E68</f>
        <v>0.6790188140033343</v>
      </c>
    </row>
    <row r="68" spans="1:10">
      <c r="C68" s="456" t="s">
        <v>360</v>
      </c>
      <c r="D68" s="456"/>
      <c r="E68" s="458">
        <f ca="1">E19</f>
        <v>50.122799999999998</v>
      </c>
      <c r="F68" s="456" t="s">
        <v>266</v>
      </c>
    </row>
    <row r="70" spans="1:10" ht="16">
      <c r="A70" s="500" t="str">
        <f ca="1">CONCATENATE("UseCase : ",TEXT(E74,"#0")," kW full load =&gt; ",TEXT(E76,"#0")," kWh ZAB used @",TEXT(E75,"0%")," DOD")</f>
        <v>UseCase : 10 kW full load =&gt; 93 kWh ZAB used @75% DOD</v>
      </c>
      <c r="B70" s="500"/>
      <c r="C70" s="500"/>
      <c r="D70" s="500"/>
      <c r="E70" s="500"/>
      <c r="F70" s="500"/>
      <c r="G70" s="500"/>
      <c r="H70" s="500"/>
      <c r="I70" s="500"/>
      <c r="J70" s="6"/>
    </row>
    <row r="71" spans="1:10">
      <c r="G71" s="476"/>
    </row>
    <row r="72" spans="1:10">
      <c r="B72" s="119" t="s">
        <v>614</v>
      </c>
      <c r="G72" s="476" t="s">
        <v>425</v>
      </c>
    </row>
    <row r="73" spans="1:10" ht="5.25" customHeight="1">
      <c r="G73" s="476"/>
    </row>
    <row r="74" spans="1:10">
      <c r="C74" t="s">
        <v>804</v>
      </c>
      <c r="E74" s="465">
        <v>10</v>
      </c>
      <c r="F74" t="s">
        <v>354</v>
      </c>
      <c r="G74" s="476"/>
    </row>
    <row r="75" spans="1:10">
      <c r="C75" t="s">
        <v>802</v>
      </c>
      <c r="E75" s="256">
        <v>0.75</v>
      </c>
      <c r="G75" s="476"/>
    </row>
    <row r="76" spans="1:10">
      <c r="C76" t="s">
        <v>803</v>
      </c>
      <c r="E76" s="474">
        <f ca="1">E68*E74/E60*E67/E75</f>
        <v>93.333333333333329</v>
      </c>
      <c r="F76" s="119" t="s">
        <v>266</v>
      </c>
      <c r="G76" s="476"/>
    </row>
    <row r="77" spans="1:10">
      <c r="C77" s="119" t="s">
        <v>805</v>
      </c>
      <c r="D77" s="119"/>
      <c r="E77" s="1186">
        <f ca="1">E76/E68</f>
        <v>1.8620933653613392</v>
      </c>
    </row>
    <row r="78" spans="1:10">
      <c r="C78" t="s">
        <v>829</v>
      </c>
      <c r="E78" s="411">
        <f ca="1">Packs!E54*E76/1000</f>
        <v>3.4381890839617895</v>
      </c>
      <c r="F78" t="s">
        <v>200</v>
      </c>
      <c r="G78" s="475">
        <f t="shared" ref="G78:G85" ca="1" si="0">E78/E$85</f>
        <v>0.63447895596691517</v>
      </c>
      <c r="H78" s="412"/>
      <c r="I78" t="s">
        <v>1</v>
      </c>
    </row>
    <row r="79" spans="1:10">
      <c r="C79" t="s">
        <v>440</v>
      </c>
      <c r="E79" s="501">
        <v>0.5</v>
      </c>
      <c r="F79" t="s">
        <v>200</v>
      </c>
      <c r="G79" s="475">
        <f t="shared" ca="1" si="0"/>
        <v>9.2269351753599835E-2</v>
      </c>
      <c r="H79" s="410">
        <v>0.08</v>
      </c>
    </row>
    <row r="80" spans="1:10">
      <c r="C80" t="s">
        <v>415</v>
      </c>
      <c r="E80" s="454">
        <v>0</v>
      </c>
      <c r="F80" t="s">
        <v>200</v>
      </c>
      <c r="G80" s="475">
        <f t="shared" ca="1" si="0"/>
        <v>0</v>
      </c>
    </row>
    <row r="81" spans="1:12">
      <c r="C81" t="s">
        <v>828</v>
      </c>
      <c r="E81" s="501">
        <v>0.6</v>
      </c>
      <c r="F81" t="s">
        <v>200</v>
      </c>
      <c r="G81" s="475">
        <f t="shared" ca="1" si="0"/>
        <v>0.1107232221043198</v>
      </c>
    </row>
    <row r="82" spans="1:12">
      <c r="C82" t="s">
        <v>590</v>
      </c>
      <c r="E82" s="768">
        <v>0</v>
      </c>
      <c r="F82" s="769" t="s">
        <v>200</v>
      </c>
      <c r="G82" s="770">
        <f t="shared" ca="1" si="0"/>
        <v>0</v>
      </c>
    </row>
    <row r="83" spans="1:12" ht="15">
      <c r="C83" t="s">
        <v>428</v>
      </c>
      <c r="E83" s="501">
        <v>0.2</v>
      </c>
      <c r="F83" t="s">
        <v>200</v>
      </c>
      <c r="G83" s="475">
        <f t="shared" ca="1" si="0"/>
        <v>3.6907740701439935E-2</v>
      </c>
      <c r="H83" s="71">
        <f ca="1">E22*E77</f>
        <v>18.635206154349994</v>
      </c>
      <c r="I83" t="s">
        <v>175</v>
      </c>
    </row>
    <row r="84" spans="1:12">
      <c r="C84" t="s">
        <v>423</v>
      </c>
      <c r="E84" s="411">
        <f ca="1">SUM(E78:E82)*H84</f>
        <v>0.68072836259426839</v>
      </c>
      <c r="F84" t="s">
        <v>200</v>
      </c>
      <c r="G84" s="475">
        <f t="shared" ca="1" si="0"/>
        <v>0.12562072947372521</v>
      </c>
      <c r="H84" s="256">
        <v>0.15</v>
      </c>
    </row>
    <row r="85" spans="1:12">
      <c r="C85" s="456" t="s">
        <v>807</v>
      </c>
      <c r="D85" s="459"/>
      <c r="E85" s="471">
        <f ca="1">SUM(E78:E84)</f>
        <v>5.4189174465560583</v>
      </c>
      <c r="F85" s="456" t="s">
        <v>200</v>
      </c>
      <c r="G85" s="475">
        <f t="shared" ca="1" si="0"/>
        <v>1</v>
      </c>
    </row>
    <row r="86" spans="1:12">
      <c r="C86" s="459"/>
      <c r="D86" s="459"/>
      <c r="E86" s="458">
        <f ca="1">E85/(E68*E77)*1000</f>
        <v>58.0598297845292</v>
      </c>
      <c r="F86" s="456" t="s">
        <v>1</v>
      </c>
    </row>
    <row r="89" spans="1:12" ht="18" customHeight="1">
      <c r="A89" s="6"/>
      <c r="B89" s="901" t="s">
        <v>668</v>
      </c>
      <c r="C89" s="899"/>
      <c r="D89" s="900"/>
      <c r="E89" s="495"/>
      <c r="F89" s="495"/>
      <c r="G89" s="495"/>
      <c r="H89" s="6"/>
      <c r="I89" s="6"/>
      <c r="J89" s="6"/>
    </row>
    <row r="90" spans="1:12" ht="5.25" customHeight="1">
      <c r="B90" s="496"/>
      <c r="C90" s="496"/>
      <c r="D90" s="496"/>
      <c r="E90" s="495"/>
      <c r="F90" s="495"/>
      <c r="G90" s="495"/>
      <c r="H90" s="1"/>
      <c r="I90" s="1"/>
    </row>
    <row r="91" spans="1:12" s="6" customFormat="1" ht="18" customHeight="1">
      <c r="B91" s="901" t="str">
        <f>'DropDown menus'!$X$3</f>
        <v>Region</v>
      </c>
      <c r="C91" s="899"/>
      <c r="D91" s="900"/>
      <c r="F91" s="900"/>
      <c r="G91" s="900"/>
      <c r="H91" s="900"/>
    </row>
    <row r="92" spans="1:12" ht="5.25" customHeight="1">
      <c r="B92" s="496"/>
      <c r="C92" s="496"/>
      <c r="D92" s="496"/>
      <c r="E92" s="495"/>
      <c r="F92" s="495"/>
      <c r="G92" s="495"/>
      <c r="H92" s="1"/>
      <c r="I92" s="1"/>
    </row>
    <row r="93" spans="1:12" ht="18" customHeight="1">
      <c r="A93" s="6"/>
      <c r="B93" s="901" t="str">
        <f>'DropDown menus'!$L$3</f>
        <v>AZA Perfs (Costs &amp; SceLife)</v>
      </c>
      <c r="C93" s="899"/>
      <c r="D93" s="900"/>
      <c r="E93" s="6"/>
      <c r="F93" s="6"/>
      <c r="G93" s="6"/>
      <c r="H93" s="6"/>
      <c r="I93" s="6"/>
      <c r="J93" s="6"/>
    </row>
    <row r="94" spans="1:12" ht="5.25" customHeight="1">
      <c r="B94" s="496"/>
      <c r="C94" s="496"/>
      <c r="D94" s="496"/>
      <c r="E94" s="495"/>
      <c r="F94" s="495"/>
      <c r="G94" s="495"/>
      <c r="H94" s="1"/>
      <c r="I94" s="1"/>
    </row>
    <row r="95" spans="1:12" ht="17.25" customHeight="1">
      <c r="A95" s="6"/>
      <c r="B95" s="902" t="str">
        <f>'DropDown menus'!$AI$3</f>
        <v>AZA ZAB energy eff.</v>
      </c>
      <c r="C95" s="899"/>
      <c r="D95" s="900"/>
      <c r="E95" s="6"/>
      <c r="F95" s="6"/>
      <c r="G95" s="6"/>
      <c r="H95" s="6"/>
      <c r="I95" s="6"/>
      <c r="J95" s="6"/>
    </row>
    <row r="96" spans="1:12">
      <c r="L96" s="476"/>
    </row>
    <row r="107" spans="1:15" s="6" customFormat="1" ht="17.25" customHeight="1">
      <c r="A107"/>
      <c r="B107" s="119"/>
      <c r="C107"/>
      <c r="D107"/>
      <c r="E107"/>
      <c r="F107"/>
      <c r="G107"/>
      <c r="H107"/>
      <c r="I107"/>
      <c r="J107"/>
    </row>
    <row r="108" spans="1:15" ht="6" customHeight="1">
      <c r="L108" s="1"/>
      <c r="O108" s="1"/>
    </row>
    <row r="109" spans="1:15" s="6" customFormat="1" ht="17.25" customHeight="1">
      <c r="A109"/>
      <c r="B109" s="119"/>
      <c r="C109"/>
      <c r="D109"/>
      <c r="E109"/>
      <c r="F109"/>
      <c r="G109"/>
      <c r="H109"/>
      <c r="I109"/>
      <c r="J109"/>
    </row>
    <row r="110" spans="1:15" ht="6" customHeight="1">
      <c r="L110" s="1"/>
      <c r="O110" s="1"/>
    </row>
    <row r="111" spans="1:15" s="6" customFormat="1" ht="17.25" customHeight="1">
      <c r="A111"/>
      <c r="B111" s="119"/>
      <c r="C111"/>
      <c r="D111"/>
      <c r="E111"/>
      <c r="F111"/>
      <c r="G111"/>
      <c r="H111"/>
      <c r="I111"/>
      <c r="J111"/>
    </row>
    <row r="112" spans="1:15" ht="6" customHeight="1">
      <c r="L112" s="1"/>
      <c r="O112" s="1"/>
    </row>
    <row r="113" spans="1:10" s="6" customFormat="1" ht="17.25" customHeight="1">
      <c r="A113"/>
      <c r="B113" s="119"/>
      <c r="C113"/>
      <c r="D113"/>
      <c r="E113"/>
      <c r="F113"/>
      <c r="G113"/>
      <c r="H113"/>
      <c r="I113"/>
      <c r="J113"/>
    </row>
  </sheetData>
  <mergeCells count="2">
    <mergeCell ref="B4:D4"/>
    <mergeCell ref="H31:J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0049" r:id="rId3" name="Drop Down 1">
              <controlPr defaultSize="0" autoLine="0" autoPict="0">
                <anchor moveWithCells="1">
                  <from>
                    <xdr:col>3</xdr:col>
                    <xdr:colOff>723900</xdr:colOff>
                    <xdr:row>5</xdr:row>
                    <xdr:rowOff>12700</xdr:rowOff>
                  </from>
                  <to>
                    <xdr:col>3</xdr:col>
                    <xdr:colOff>2159000</xdr:colOff>
                    <xdr:row>5</xdr:row>
                    <xdr:rowOff>203200</xdr:rowOff>
                  </to>
                </anchor>
              </controlPr>
            </control>
          </mc:Choice>
        </mc:AlternateContent>
        <mc:AlternateContent xmlns:mc="http://schemas.openxmlformats.org/markup-compatibility/2006">
          <mc:Choice Requires="x14">
            <control shapeId="130050" r:id="rId4" name="Drop Down 2">
              <controlPr defaultSize="0" autoLine="0" autoPict="0">
                <anchor moveWithCells="1">
                  <from>
                    <xdr:col>6</xdr:col>
                    <xdr:colOff>101600</xdr:colOff>
                    <xdr:row>45</xdr:row>
                    <xdr:rowOff>25400</xdr:rowOff>
                  </from>
                  <to>
                    <xdr:col>9</xdr:col>
                    <xdr:colOff>88900</xdr:colOff>
                    <xdr:row>46</xdr:row>
                    <xdr:rowOff>25400</xdr:rowOff>
                  </to>
                </anchor>
              </controlPr>
            </control>
          </mc:Choice>
        </mc:AlternateContent>
        <mc:AlternateContent xmlns:mc="http://schemas.openxmlformats.org/markup-compatibility/2006">
          <mc:Choice Requires="x14">
            <control shapeId="130051" r:id="rId5" name="Drop Down 3">
              <controlPr defaultSize="0" autoLine="0" autoPict="0">
                <anchor moveWithCells="1">
                  <from>
                    <xdr:col>4</xdr:col>
                    <xdr:colOff>12700</xdr:colOff>
                    <xdr:row>55</xdr:row>
                    <xdr:rowOff>12700</xdr:rowOff>
                  </from>
                  <to>
                    <xdr:col>5</xdr:col>
                    <xdr:colOff>330200</xdr:colOff>
                    <xdr:row>55</xdr:row>
                    <xdr:rowOff>152400</xdr:rowOff>
                  </to>
                </anchor>
              </controlPr>
            </control>
          </mc:Choice>
        </mc:AlternateContent>
        <mc:AlternateContent xmlns:mc="http://schemas.openxmlformats.org/markup-compatibility/2006">
          <mc:Choice Requires="x14">
            <control shapeId="130052" r:id="rId6" name="Drop Down 4">
              <controlPr defaultSize="0" autoLine="0" autoPict="0">
                <anchor moveWithCells="1">
                  <from>
                    <xdr:col>3</xdr:col>
                    <xdr:colOff>1473200</xdr:colOff>
                    <xdr:row>7</xdr:row>
                    <xdr:rowOff>12700</xdr:rowOff>
                  </from>
                  <to>
                    <xdr:col>3</xdr:col>
                    <xdr:colOff>2159000</xdr:colOff>
                    <xdr:row>7</xdr:row>
                    <xdr:rowOff>190500</xdr:rowOff>
                  </to>
                </anchor>
              </controlPr>
            </control>
          </mc:Choice>
        </mc:AlternateContent>
        <mc:AlternateContent xmlns:mc="http://schemas.openxmlformats.org/markup-compatibility/2006">
          <mc:Choice Requires="x14">
            <control shapeId="130053" r:id="rId7" name="Drop Down 5">
              <controlPr defaultSize="0" autoLine="0" autoPict="0">
                <anchor moveWithCells="1">
                  <from>
                    <xdr:col>3</xdr:col>
                    <xdr:colOff>215900</xdr:colOff>
                    <xdr:row>9</xdr:row>
                    <xdr:rowOff>25400</xdr:rowOff>
                  </from>
                  <to>
                    <xdr:col>3</xdr:col>
                    <xdr:colOff>2120900</xdr:colOff>
                    <xdr:row>9</xdr:row>
                    <xdr:rowOff>203200</xdr:rowOff>
                  </to>
                </anchor>
              </controlPr>
            </control>
          </mc:Choice>
        </mc:AlternateContent>
        <mc:AlternateContent xmlns:mc="http://schemas.openxmlformats.org/markup-compatibility/2006">
          <mc:Choice Requires="x14">
            <control shapeId="130054" r:id="rId8" name="Drop Down 6">
              <controlPr defaultSize="0" autoLine="0" autoPict="0">
                <anchor moveWithCells="1">
                  <from>
                    <xdr:col>3</xdr:col>
                    <xdr:colOff>584200</xdr:colOff>
                    <xdr:row>88</xdr:row>
                    <xdr:rowOff>25400</xdr:rowOff>
                  </from>
                  <to>
                    <xdr:col>3</xdr:col>
                    <xdr:colOff>2006600</xdr:colOff>
                    <xdr:row>88</xdr:row>
                    <xdr:rowOff>203200</xdr:rowOff>
                  </to>
                </anchor>
              </controlPr>
            </control>
          </mc:Choice>
        </mc:AlternateContent>
        <mc:AlternateContent xmlns:mc="http://schemas.openxmlformats.org/markup-compatibility/2006">
          <mc:Choice Requires="x14">
            <control shapeId="130055" r:id="rId9" name="Drop Down 7">
              <controlPr defaultSize="0" autoLine="0" autoPict="0">
                <anchor moveWithCells="1">
                  <from>
                    <xdr:col>3</xdr:col>
                    <xdr:colOff>1371600</xdr:colOff>
                    <xdr:row>92</xdr:row>
                    <xdr:rowOff>25400</xdr:rowOff>
                  </from>
                  <to>
                    <xdr:col>3</xdr:col>
                    <xdr:colOff>2019300</xdr:colOff>
                    <xdr:row>92</xdr:row>
                    <xdr:rowOff>203200</xdr:rowOff>
                  </to>
                </anchor>
              </controlPr>
            </control>
          </mc:Choice>
        </mc:AlternateContent>
        <mc:AlternateContent xmlns:mc="http://schemas.openxmlformats.org/markup-compatibility/2006">
          <mc:Choice Requires="x14">
            <control shapeId="130056" r:id="rId10" name="Drop Down 8">
              <controlPr defaultSize="0" autoLine="0" autoPict="0">
                <anchor moveWithCells="1">
                  <from>
                    <xdr:col>3</xdr:col>
                    <xdr:colOff>127000</xdr:colOff>
                    <xdr:row>90</xdr:row>
                    <xdr:rowOff>12700</xdr:rowOff>
                  </from>
                  <to>
                    <xdr:col>3</xdr:col>
                    <xdr:colOff>2006600</xdr:colOff>
                    <xdr:row>90</xdr:row>
                    <xdr:rowOff>203200</xdr:rowOff>
                  </to>
                </anchor>
              </controlPr>
            </control>
          </mc:Choice>
        </mc:AlternateContent>
        <mc:AlternateContent xmlns:mc="http://schemas.openxmlformats.org/markup-compatibility/2006">
          <mc:Choice Requires="x14">
            <control shapeId="130057" r:id="rId11" name="Drop Down 9">
              <controlPr defaultSize="0" autoLine="0" autoPict="0">
                <anchor moveWithCells="1">
                  <from>
                    <xdr:col>3</xdr:col>
                    <xdr:colOff>1358900</xdr:colOff>
                    <xdr:row>94</xdr:row>
                    <xdr:rowOff>25400</xdr:rowOff>
                  </from>
                  <to>
                    <xdr:col>3</xdr:col>
                    <xdr:colOff>1993900</xdr:colOff>
                    <xdr:row>94</xdr:row>
                    <xdr:rowOff>190500</xdr:rowOff>
                  </to>
                </anchor>
              </controlPr>
            </control>
          </mc:Choice>
        </mc:AlternateContent>
        <mc:AlternateContent xmlns:mc="http://schemas.openxmlformats.org/markup-compatibility/2006">
          <mc:Choice Requires="x14">
            <control shapeId="130058" r:id="rId12" name="Drop Down 10">
              <controlPr defaultSize="0" autoLine="0" autoPict="0">
                <anchor moveWithCells="1">
                  <from>
                    <xdr:col>7</xdr:col>
                    <xdr:colOff>101600</xdr:colOff>
                    <xdr:row>5</xdr:row>
                    <xdr:rowOff>50800</xdr:rowOff>
                  </from>
                  <to>
                    <xdr:col>8</xdr:col>
                    <xdr:colOff>546100</xdr:colOff>
                    <xdr:row>6</xdr:row>
                    <xdr:rowOff>38100</xdr:rowOff>
                  </to>
                </anchor>
              </controlPr>
            </control>
          </mc:Choice>
        </mc:AlternateContent>
        <mc:AlternateContent xmlns:mc="http://schemas.openxmlformats.org/markup-compatibility/2006">
          <mc:Choice Requires="x14">
            <control shapeId="130059" r:id="rId13" name="Drop Down 11">
              <controlPr defaultSize="0" autoLine="0" autoPict="0">
                <anchor moveWithCells="1">
                  <from>
                    <xdr:col>5</xdr:col>
                    <xdr:colOff>292100</xdr:colOff>
                    <xdr:row>90</xdr:row>
                    <xdr:rowOff>38100</xdr:rowOff>
                  </from>
                  <to>
                    <xdr:col>7</xdr:col>
                    <xdr:colOff>596900</xdr:colOff>
                    <xdr:row>90</xdr:row>
                    <xdr:rowOff>215900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B050"/>
  </sheetPr>
  <dimension ref="A1:P64"/>
  <sheetViews>
    <sheetView topLeftCell="A3" zoomScale="80" zoomScaleNormal="80" workbookViewId="0">
      <pane ySplit="8" topLeftCell="A11" activePane="bottomLeft" state="frozenSplit"/>
      <selection activeCell="H35" sqref="H35"/>
      <selection pane="bottomLeft" activeCell="H35" sqref="H35"/>
    </sheetView>
  </sheetViews>
  <sheetFormatPr baseColWidth="10" defaultColWidth="8.83203125" defaultRowHeight="13" outlineLevelRow="1"/>
  <cols>
    <col min="1" max="1" width="2.83203125" customWidth="1"/>
    <col min="2" max="2" width="3.33203125" style="119" customWidth="1"/>
    <col min="3" max="3" width="5.6640625" customWidth="1"/>
    <col min="4" max="4" width="31.5" customWidth="1"/>
    <col min="5" max="5" width="8.5" customWidth="1"/>
    <col min="7" max="7" width="7.1640625" customWidth="1"/>
    <col min="8" max="8" width="15.5" customWidth="1"/>
    <col min="10" max="10" width="14.1640625" customWidth="1"/>
    <col min="15" max="15" width="7" customWidth="1"/>
    <col min="16" max="16" width="9.1640625" style="1156"/>
  </cols>
  <sheetData>
    <row r="1" spans="1:16" ht="5.25" customHeight="1"/>
    <row r="2" spans="1:16" ht="5.25" customHeight="1">
      <c r="B2"/>
      <c r="C2" s="119"/>
    </row>
    <row r="3" spans="1:16" s="494" customFormat="1" ht="34.5" customHeight="1">
      <c r="A3" s="494" t="s">
        <v>444</v>
      </c>
      <c r="D3" s="495"/>
      <c r="E3" s="495"/>
      <c r="F3" s="495"/>
      <c r="G3" s="495"/>
      <c r="H3" s="495"/>
      <c r="I3" s="495"/>
      <c r="L3" s="495"/>
      <c r="O3" s="495"/>
      <c r="P3" s="1157"/>
    </row>
    <row r="4" spans="1:16" ht="3.75" customHeight="1">
      <c r="B4" s="1534"/>
      <c r="C4" s="1534"/>
      <c r="D4" s="1534"/>
      <c r="E4" s="495"/>
      <c r="F4" s="495"/>
      <c r="G4" s="495"/>
      <c r="H4" s="1"/>
      <c r="I4" s="1"/>
      <c r="L4" s="1"/>
      <c r="O4" s="1"/>
    </row>
    <row r="5" spans="1:16" ht="6" customHeight="1">
      <c r="B5" s="496"/>
      <c r="C5" s="496"/>
      <c r="D5" s="496"/>
      <c r="E5" s="495"/>
      <c r="F5" s="495"/>
      <c r="G5" s="495"/>
      <c r="H5" s="1"/>
      <c r="I5" s="1"/>
      <c r="L5" s="1"/>
      <c r="O5" s="1"/>
    </row>
    <row r="6" spans="1:16" s="6" customFormat="1" ht="17.25" customHeight="1">
      <c r="B6" s="901" t="s">
        <v>668</v>
      </c>
      <c r="C6" s="899"/>
      <c r="D6" s="900"/>
      <c r="E6" s="495"/>
      <c r="F6" s="495"/>
      <c r="G6" s="495"/>
      <c r="P6" s="1158"/>
    </row>
    <row r="7" spans="1:16" ht="6" customHeight="1">
      <c r="B7" s="496"/>
      <c r="C7" s="496"/>
      <c r="D7" s="496"/>
      <c r="E7" s="495"/>
      <c r="F7" s="495"/>
      <c r="G7" s="495"/>
      <c r="H7" s="1"/>
      <c r="I7" s="1"/>
      <c r="L7" s="1"/>
      <c r="O7" s="1"/>
    </row>
    <row r="8" spans="1:16" s="6" customFormat="1" ht="17.25" customHeight="1">
      <c r="B8" s="901" t="str">
        <f>'DropDown menus'!$L$3</f>
        <v>AZA Perfs (Costs &amp; SceLife)</v>
      </c>
      <c r="C8" s="899"/>
      <c r="D8" s="900"/>
      <c r="P8" s="1158"/>
    </row>
    <row r="9" spans="1:16" ht="6" customHeight="1">
      <c r="B9" s="496"/>
      <c r="C9" s="496"/>
      <c r="D9" s="496"/>
      <c r="E9" s="495"/>
      <c r="F9" s="495"/>
      <c r="G9" s="495"/>
      <c r="H9" s="1"/>
      <c r="I9" s="1"/>
      <c r="L9" s="1"/>
      <c r="O9" s="1"/>
    </row>
    <row r="10" spans="1:16" s="6" customFormat="1" ht="20.25" customHeight="1">
      <c r="B10" s="901" t="str">
        <f>'DropDown menus'!$X$3</f>
        <v>Region</v>
      </c>
      <c r="C10" s="899"/>
      <c r="D10" s="900"/>
      <c r="F10" s="901" t="s">
        <v>745</v>
      </c>
      <c r="G10" s="407"/>
      <c r="H10" s="407"/>
      <c r="I10" s="407"/>
      <c r="O10" s="1155" t="s">
        <v>788</v>
      </c>
      <c r="P10" s="1158"/>
    </row>
    <row r="11" spans="1:16" s="119" customFormat="1" ht="2.25" customHeight="1">
      <c r="P11" s="1159"/>
    </row>
    <row r="12" spans="1:16">
      <c r="B12"/>
    </row>
    <row r="13" spans="1:16">
      <c r="B13"/>
      <c r="P13" s="1160" t="s">
        <v>791</v>
      </c>
    </row>
    <row r="14" spans="1:16">
      <c r="B14" s="375"/>
      <c r="P14" s="1156" t="s">
        <v>792</v>
      </c>
    </row>
    <row r="15" spans="1:16">
      <c r="A15" s="119" t="s">
        <v>252</v>
      </c>
      <c r="P15" s="1156" t="s">
        <v>793</v>
      </c>
    </row>
    <row r="16" spans="1:16">
      <c r="A16" s="119"/>
      <c r="B16" s="119" t="s">
        <v>378</v>
      </c>
      <c r="P16" s="1156" t="s">
        <v>798</v>
      </c>
    </row>
    <row r="17" spans="1:12" outlineLevel="1">
      <c r="A17" s="119"/>
      <c r="C17" t="s">
        <v>258</v>
      </c>
      <c r="E17" s="455">
        <v>400</v>
      </c>
      <c r="F17" t="s">
        <v>255</v>
      </c>
    </row>
    <row r="18" spans="1:12" outlineLevel="1">
      <c r="A18" s="119"/>
      <c r="C18" t="s">
        <v>314</v>
      </c>
      <c r="E18" s="455">
        <v>150</v>
      </c>
      <c r="F18" t="s">
        <v>255</v>
      </c>
      <c r="I18" s="1046">
        <v>21</v>
      </c>
      <c r="J18" s="1046" t="s">
        <v>742</v>
      </c>
      <c r="K18" s="1046"/>
    </row>
    <row r="19" spans="1:12" outlineLevel="1">
      <c r="A19" s="119"/>
      <c r="C19" t="s">
        <v>259</v>
      </c>
      <c r="E19" s="464">
        <f ca="1">OFFSET(I18,opt_PVF_UPS_ndx,0)</f>
        <v>21</v>
      </c>
      <c r="F19" t="s">
        <v>255</v>
      </c>
      <c r="I19" s="1046">
        <v>25</v>
      </c>
      <c r="J19" s="1046" t="s">
        <v>743</v>
      </c>
      <c r="K19" s="1046"/>
    </row>
    <row r="20" spans="1:12" outlineLevel="1">
      <c r="A20" s="119"/>
      <c r="C20" s="13" t="s">
        <v>19</v>
      </c>
      <c r="E20" s="412">
        <f ca="1">E17*E18*E19/1000000</f>
        <v>1.26</v>
      </c>
      <c r="F20" t="s">
        <v>263</v>
      </c>
    </row>
    <row r="21" spans="1:12" outlineLevel="1">
      <c r="C21" s="13" t="s">
        <v>17</v>
      </c>
      <c r="E21" s="412">
        <f ca="1">E24*E20</f>
        <v>2.1419999999999999</v>
      </c>
      <c r="F21" t="s">
        <v>131</v>
      </c>
    </row>
    <row r="22" spans="1:12" outlineLevel="1">
      <c r="C22" s="13" t="s">
        <v>383</v>
      </c>
      <c r="E22" s="71">
        <f ca="1">E25*E21</f>
        <v>139.22999999999999</v>
      </c>
      <c r="F22" t="s">
        <v>160</v>
      </c>
      <c r="I22" s="1046">
        <v>5</v>
      </c>
      <c r="J22" s="1046" t="s">
        <v>821</v>
      </c>
      <c r="K22" s="1046"/>
    </row>
    <row r="23" spans="1:12" outlineLevel="1">
      <c r="C23" s="13" t="s">
        <v>819</v>
      </c>
      <c r="E23" s="464">
        <f ca="1">OFFSET(I22,opt_PVF_UPS_ndx,0)</f>
        <v>5</v>
      </c>
      <c r="F23" t="s">
        <v>161</v>
      </c>
      <c r="I23" s="1046">
        <v>8</v>
      </c>
      <c r="J23" s="1046" t="s">
        <v>820</v>
      </c>
      <c r="K23" s="1046"/>
    </row>
    <row r="24" spans="1:12" outlineLevel="1">
      <c r="C24" s="13" t="s">
        <v>379</v>
      </c>
      <c r="E24" s="455">
        <v>1.7</v>
      </c>
      <c r="F24" t="s">
        <v>264</v>
      </c>
      <c r="I24" s="1046">
        <v>65</v>
      </c>
      <c r="J24" s="1046" t="s">
        <v>742</v>
      </c>
      <c r="K24" s="1046"/>
    </row>
    <row r="25" spans="1:12" outlineLevel="1">
      <c r="C25" s="13" t="s">
        <v>385</v>
      </c>
      <c r="E25" s="464">
        <f ca="1">OFFSET(I24,opt_PVF_UPS_ndx,0)</f>
        <v>65</v>
      </c>
      <c r="F25" t="s">
        <v>132</v>
      </c>
      <c r="I25" s="1046">
        <v>150</v>
      </c>
      <c r="J25" s="1046" t="s">
        <v>743</v>
      </c>
      <c r="K25" s="1046"/>
    </row>
    <row r="26" spans="1:12" outlineLevel="1">
      <c r="C26" s="13" t="s">
        <v>384</v>
      </c>
      <c r="E26" s="71">
        <f ca="1">E25*E24</f>
        <v>110.5</v>
      </c>
      <c r="F26" t="s">
        <v>386</v>
      </c>
    </row>
    <row r="27" spans="1:12">
      <c r="B27" s="159" t="s">
        <v>864</v>
      </c>
      <c r="C27" s="13"/>
      <c r="J27" s="1418" t="s">
        <v>984</v>
      </c>
    </row>
    <row r="28" spans="1:12" outlineLevel="1">
      <c r="A28" s="119"/>
      <c r="C28" t="s">
        <v>258</v>
      </c>
      <c r="E28" s="455">
        <v>20</v>
      </c>
      <c r="F28" t="s">
        <v>255</v>
      </c>
    </row>
    <row r="29" spans="1:12" outlineLevel="1">
      <c r="A29" s="119"/>
      <c r="C29" t="s">
        <v>314</v>
      </c>
      <c r="E29" s="455">
        <v>20</v>
      </c>
      <c r="F29" t="s">
        <v>255</v>
      </c>
    </row>
    <row r="30" spans="1:12" outlineLevel="1">
      <c r="A30" s="119"/>
      <c r="C30" t="s">
        <v>259</v>
      </c>
      <c r="E30" s="455">
        <v>20</v>
      </c>
      <c r="F30" t="s">
        <v>255</v>
      </c>
    </row>
    <row r="31" spans="1:12" outlineLevel="1">
      <c r="A31" s="119"/>
      <c r="C31" t="s">
        <v>382</v>
      </c>
      <c r="E31" s="465">
        <v>4</v>
      </c>
      <c r="F31" t="s">
        <v>255</v>
      </c>
    </row>
    <row r="32" spans="1:12">
      <c r="B32" s="119" t="s">
        <v>377</v>
      </c>
      <c r="E32" s="412">
        <f ca="1">E40/1000</f>
        <v>1.6707599999999998</v>
      </c>
      <c r="F32" t="s">
        <v>266</v>
      </c>
      <c r="I32" s="1046">
        <v>12</v>
      </c>
      <c r="J32" s="1046" t="s">
        <v>740</v>
      </c>
      <c r="K32" s="1046"/>
      <c r="L32" s="1047"/>
    </row>
    <row r="33" spans="3:12" outlineLevel="1">
      <c r="C33" t="s">
        <v>381</v>
      </c>
      <c r="E33" s="464">
        <f ca="1">OFFSET(I32,opt_PVF_UPS_ndx,0)</f>
        <v>12</v>
      </c>
      <c r="F33" t="s">
        <v>256</v>
      </c>
      <c r="I33" s="1046">
        <v>10</v>
      </c>
      <c r="J33" s="1046" t="s">
        <v>741</v>
      </c>
      <c r="K33" s="1046"/>
      <c r="L33" s="1047"/>
    </row>
    <row r="34" spans="3:12" outlineLevel="1">
      <c r="C34" t="s">
        <v>258</v>
      </c>
      <c r="E34">
        <f>E28+E17</f>
        <v>420</v>
      </c>
      <c r="F34" t="s">
        <v>255</v>
      </c>
    </row>
    <row r="35" spans="3:12" outlineLevel="1">
      <c r="C35" t="s">
        <v>314</v>
      </c>
      <c r="E35">
        <f>E29+E18</f>
        <v>170</v>
      </c>
      <c r="F35" t="s">
        <v>255</v>
      </c>
    </row>
    <row r="36" spans="3:12" outlineLevel="1">
      <c r="C36" t="s">
        <v>259</v>
      </c>
      <c r="E36">
        <f ca="1">E33*(E31+E19)+E30</f>
        <v>320</v>
      </c>
      <c r="F36" t="s">
        <v>255</v>
      </c>
    </row>
    <row r="37" spans="3:12" outlineLevel="1">
      <c r="C37" s="13" t="s">
        <v>19</v>
      </c>
      <c r="E37" s="412">
        <f ca="1">E34*E35*E36/1000000</f>
        <v>22.847999999999999</v>
      </c>
      <c r="F37" t="s">
        <v>263</v>
      </c>
    </row>
    <row r="38" spans="3:12" outlineLevel="1">
      <c r="C38" s="13" t="s">
        <v>380</v>
      </c>
      <c r="E38" s="463">
        <v>0.1</v>
      </c>
      <c r="G38" t="s">
        <v>389</v>
      </c>
    </row>
    <row r="39" spans="3:12" outlineLevel="1">
      <c r="C39" s="13" t="s">
        <v>17</v>
      </c>
      <c r="E39" s="1048">
        <f ca="1">(E38+1)*E33*E21</f>
        <v>28.2744</v>
      </c>
      <c r="F39" s="1049" t="s">
        <v>131</v>
      </c>
    </row>
    <row r="40" spans="3:12" outlineLevel="1">
      <c r="C40" s="13" t="s">
        <v>383</v>
      </c>
      <c r="E40" s="1164">
        <f ca="1">E33*E22</f>
        <v>1670.7599999999998</v>
      </c>
      <c r="F40" s="1060" t="s">
        <v>160</v>
      </c>
    </row>
    <row r="41" spans="3:12" outlineLevel="1">
      <c r="C41" s="13" t="s">
        <v>822</v>
      </c>
      <c r="E41" s="1164">
        <f ca="1">E40/E23</f>
        <v>334.15199999999993</v>
      </c>
      <c r="F41" s="1060" t="s">
        <v>823</v>
      </c>
    </row>
    <row r="42" spans="3:12" outlineLevel="1">
      <c r="C42" s="13" t="s">
        <v>379</v>
      </c>
      <c r="E42" s="411">
        <f ca="1">E39/E37</f>
        <v>1.2375</v>
      </c>
      <c r="F42" t="s">
        <v>264</v>
      </c>
    </row>
    <row r="43" spans="3:12" outlineLevel="1">
      <c r="C43" s="13" t="s">
        <v>385</v>
      </c>
      <c r="E43" s="1000">
        <f ca="1">E40/E39</f>
        <v>59.090909090909079</v>
      </c>
      <c r="F43" s="459" t="s">
        <v>132</v>
      </c>
    </row>
    <row r="44" spans="3:12" outlineLevel="1">
      <c r="C44" s="13" t="s">
        <v>384</v>
      </c>
      <c r="E44" s="1000">
        <f ca="1">E40/E37</f>
        <v>73.125</v>
      </c>
      <c r="F44" s="459" t="s">
        <v>386</v>
      </c>
    </row>
    <row r="45" spans="3:12" outlineLevel="1">
      <c r="C45" t="s">
        <v>376</v>
      </c>
      <c r="E45" s="255">
        <f ca="1">E25/E43-1</f>
        <v>0.10000000000000031</v>
      </c>
      <c r="G45" t="s">
        <v>388</v>
      </c>
      <c r="L45" s="119"/>
    </row>
    <row r="46" spans="3:12" outlineLevel="1">
      <c r="C46" t="s">
        <v>375</v>
      </c>
      <c r="E46" s="255">
        <f ca="1">E26/E44-1</f>
        <v>0.51111111111111107</v>
      </c>
      <c r="G46" t="s">
        <v>387</v>
      </c>
      <c r="L46" s="119"/>
    </row>
    <row r="47" spans="3:12">
      <c r="C47" s="159" t="s">
        <v>420</v>
      </c>
    </row>
    <row r="48" spans="3:12" outlineLevel="1">
      <c r="C48" s="13"/>
      <c r="D48" t="s">
        <v>378</v>
      </c>
      <c r="E48" s="1207">
        <f ca="1">E40/1000*G48</f>
        <v>43.547022791999986</v>
      </c>
      <c r="F48" t="s">
        <v>416</v>
      </c>
      <c r="G48" s="1053">
        <f ca="1">OFFSET('Cells Cost'!$E$23,opt_year-2022,0)*IF(opt_PVF_UPS="UPS",100%+opt_HD_cells_overhead,100%)</f>
        <v>26.064199999999996</v>
      </c>
      <c r="H48" s="1054" t="s">
        <v>1</v>
      </c>
    </row>
    <row r="49" spans="2:10" outlineLevel="1">
      <c r="C49" s="13"/>
      <c r="D49" t="s">
        <v>827</v>
      </c>
      <c r="E49" s="1207">
        <f ca="1">E33*G49/12</f>
        <v>10</v>
      </c>
      <c r="F49" t="s">
        <v>416</v>
      </c>
      <c r="G49" s="1208">
        <v>10</v>
      </c>
      <c r="H49" t="s">
        <v>824</v>
      </c>
    </row>
    <row r="50" spans="2:10" outlineLevel="1">
      <c r="C50" s="13"/>
      <c r="D50" t="s">
        <v>825</v>
      </c>
      <c r="E50" s="1207">
        <f ca="1">E33*G50/12</f>
        <v>2</v>
      </c>
      <c r="F50" t="s">
        <v>416</v>
      </c>
      <c r="G50" s="1208">
        <v>2</v>
      </c>
      <c r="H50" t="s">
        <v>824</v>
      </c>
    </row>
    <row r="51" spans="2:10" outlineLevel="1">
      <c r="C51" s="13"/>
      <c r="D51" t="s">
        <v>421</v>
      </c>
      <c r="E51" s="1206">
        <v>4</v>
      </c>
      <c r="F51" t="s">
        <v>416</v>
      </c>
    </row>
    <row r="52" spans="2:10" outlineLevel="1">
      <c r="C52" s="13"/>
      <c r="D52" t="s">
        <v>826</v>
      </c>
      <c r="E52" s="1206">
        <v>2</v>
      </c>
      <c r="F52" t="s">
        <v>416</v>
      </c>
      <c r="G52" s="410"/>
    </row>
    <row r="53" spans="2:10">
      <c r="C53" s="13"/>
      <c r="D53" s="473" t="s">
        <v>422</v>
      </c>
      <c r="E53" s="468">
        <f ca="1">SUM(E48:E52)</f>
        <v>61.547022791999986</v>
      </c>
      <c r="F53" s="467" t="s">
        <v>416</v>
      </c>
      <c r="G53" s="1034">
        <f ca="1">E54/G48-1</f>
        <v>0.41334628284408859</v>
      </c>
      <c r="H53" s="1035" t="s">
        <v>739</v>
      </c>
      <c r="I53" s="1035"/>
      <c r="J53" s="1035"/>
    </row>
    <row r="54" spans="2:10">
      <c r="D54" s="467"/>
      <c r="E54" s="458">
        <f ca="1">E53/E40*1000</f>
        <v>36.837740185304888</v>
      </c>
      <c r="F54" s="456" t="s">
        <v>1</v>
      </c>
      <c r="H54" s="1163" t="s">
        <v>729</v>
      </c>
      <c r="I54" s="1161">
        <f ca="1">E54/(1000/E43)</f>
        <v>2.1767755564043791</v>
      </c>
      <c r="J54" s="1162" t="s">
        <v>796</v>
      </c>
    </row>
    <row r="56" spans="2:10">
      <c r="B56" s="456" t="s">
        <v>390</v>
      </c>
      <c r="C56" s="459"/>
      <c r="D56" s="459"/>
      <c r="E56" s="458">
        <f ca="1">E58</f>
        <v>50.122799999999998</v>
      </c>
      <c r="F56" s="456" t="str">
        <f>F58</f>
        <v>kWh</v>
      </c>
    </row>
    <row r="57" spans="2:10" outlineLevel="1">
      <c r="C57" s="466" t="s">
        <v>391</v>
      </c>
      <c r="D57" s="466"/>
      <c r="E57" s="1165">
        <v>30</v>
      </c>
      <c r="F57" s="466" t="s">
        <v>256</v>
      </c>
    </row>
    <row r="58" spans="2:10" outlineLevel="1">
      <c r="C58" s="467" t="s">
        <v>392</v>
      </c>
      <c r="D58" s="467"/>
      <c r="E58" s="468">
        <f ca="1">E40*E57/1000</f>
        <v>50.122799999999998</v>
      </c>
      <c r="F58" s="467" t="s">
        <v>266</v>
      </c>
    </row>
    <row r="59" spans="2:10" outlineLevel="1">
      <c r="C59" s="466" t="s">
        <v>19</v>
      </c>
      <c r="D59" s="466"/>
      <c r="E59" s="469">
        <f ca="1">E57*E37</f>
        <v>685.43999999999994</v>
      </c>
      <c r="F59" s="466" t="s">
        <v>263</v>
      </c>
    </row>
    <row r="60" spans="2:10" outlineLevel="1">
      <c r="C60" s="466" t="s">
        <v>17</v>
      </c>
      <c r="D60" s="466"/>
      <c r="E60" s="469">
        <f ca="1">E57*E39</f>
        <v>848.23199999999997</v>
      </c>
      <c r="F60" s="466" t="s">
        <v>131</v>
      </c>
    </row>
    <row r="61" spans="2:10" ht="16" outlineLevel="1">
      <c r="C61" s="466" t="s">
        <v>445</v>
      </c>
      <c r="D61" s="466"/>
      <c r="E61" s="470">
        <f ca="1">E58*G61</f>
        <v>10.007664761070577</v>
      </c>
      <c r="F61" s="466" t="s">
        <v>175</v>
      </c>
      <c r="G61" s="1166">
        <f>AirConsumption!C20</f>
        <v>0.19966292308232136</v>
      </c>
      <c r="H61" s="1008" t="s">
        <v>799</v>
      </c>
    </row>
    <row r="64" spans="2:10">
      <c r="E64" s="71"/>
      <c r="G64" s="413"/>
    </row>
  </sheetData>
  <mergeCells count="1">
    <mergeCell ref="B4:D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4" r:id="rId3" name="Drop Down 2">
              <controlPr defaultSize="0" autoLine="0" autoPict="0">
                <anchor moveWithCells="1">
                  <from>
                    <xdr:col>3</xdr:col>
                    <xdr:colOff>584200</xdr:colOff>
                    <xdr:row>5</xdr:row>
                    <xdr:rowOff>25400</xdr:rowOff>
                  </from>
                  <to>
                    <xdr:col>3</xdr:col>
                    <xdr:colOff>2006600</xdr:colOff>
                    <xdr:row>5</xdr:row>
                    <xdr:rowOff>215900</xdr:rowOff>
                  </to>
                </anchor>
              </controlPr>
            </control>
          </mc:Choice>
        </mc:AlternateContent>
        <mc:AlternateContent xmlns:mc="http://schemas.openxmlformats.org/markup-compatibility/2006">
          <mc:Choice Requires="x14">
            <control shapeId="59401" r:id="rId4" name="Drop Down 9">
              <controlPr defaultSize="0" autoLine="0" autoPict="0">
                <anchor moveWithCells="1">
                  <from>
                    <xdr:col>3</xdr:col>
                    <xdr:colOff>1320800</xdr:colOff>
                    <xdr:row>7</xdr:row>
                    <xdr:rowOff>25400</xdr:rowOff>
                  </from>
                  <to>
                    <xdr:col>3</xdr:col>
                    <xdr:colOff>2006600</xdr:colOff>
                    <xdr:row>7</xdr:row>
                    <xdr:rowOff>203200</xdr:rowOff>
                  </to>
                </anchor>
              </controlPr>
            </control>
          </mc:Choice>
        </mc:AlternateContent>
        <mc:AlternateContent xmlns:mc="http://schemas.openxmlformats.org/markup-compatibility/2006">
          <mc:Choice Requires="x14">
            <control shapeId="59403" r:id="rId5" name="Drop Down 11">
              <controlPr defaultSize="0" autoLine="0" autoPict="0">
                <anchor moveWithCells="1">
                  <from>
                    <xdr:col>3</xdr:col>
                    <xdr:colOff>101600</xdr:colOff>
                    <xdr:row>9</xdr:row>
                    <xdr:rowOff>25400</xdr:rowOff>
                  </from>
                  <to>
                    <xdr:col>3</xdr:col>
                    <xdr:colOff>2006600</xdr:colOff>
                    <xdr:row>9</xdr:row>
                    <xdr:rowOff>203200</xdr:rowOff>
                  </to>
                </anchor>
              </controlPr>
            </control>
          </mc:Choice>
        </mc:AlternateContent>
        <mc:AlternateContent xmlns:mc="http://schemas.openxmlformats.org/markup-compatibility/2006">
          <mc:Choice Requires="x14">
            <control shapeId="59408" r:id="rId6" name="Drop Down 16">
              <controlPr defaultSize="0" autoLine="0" autoPict="0">
                <anchor moveWithCells="1">
                  <from>
                    <xdr:col>6</xdr:col>
                    <xdr:colOff>406400</xdr:colOff>
                    <xdr:row>9</xdr:row>
                    <xdr:rowOff>38100</xdr:rowOff>
                  </from>
                  <to>
                    <xdr:col>8</xdr:col>
                    <xdr:colOff>355600</xdr:colOff>
                    <xdr:row>9</xdr:row>
                    <xdr:rowOff>241300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B050"/>
  </sheetPr>
  <dimension ref="A3:Y40"/>
  <sheetViews>
    <sheetView topLeftCell="A4" zoomScale="85" zoomScaleNormal="85" workbookViewId="0">
      <selection activeCell="H35" sqref="H35"/>
    </sheetView>
  </sheetViews>
  <sheetFormatPr baseColWidth="10" defaultColWidth="8.83203125" defaultRowHeight="13"/>
  <cols>
    <col min="5" max="6" width="10.5" customWidth="1"/>
    <col min="8" max="8" width="2" customWidth="1"/>
    <col min="9" max="9" width="8.6640625" customWidth="1"/>
    <col min="13" max="13" width="2.33203125" style="1" customWidth="1"/>
    <col min="14" max="14" width="2.5" customWidth="1"/>
    <col min="15" max="15" width="11" customWidth="1"/>
    <col min="16" max="16" width="11.1640625" customWidth="1"/>
    <col min="17" max="17" width="10.5" customWidth="1"/>
  </cols>
  <sheetData>
    <row r="3" spans="1:22" ht="12.75" customHeight="1">
      <c r="B3" s="1539" t="s">
        <v>41</v>
      </c>
      <c r="C3" s="1539"/>
      <c r="D3" s="1539"/>
      <c r="E3" s="1539"/>
      <c r="F3" s="1539"/>
      <c r="G3" s="1539"/>
      <c r="I3" s="1547" t="s">
        <v>645</v>
      </c>
      <c r="J3" s="1548"/>
      <c r="K3" s="1548"/>
      <c r="L3" s="1549"/>
      <c r="O3" s="1539" t="s">
        <v>646</v>
      </c>
      <c r="P3" s="1539"/>
      <c r="Q3" s="1539"/>
      <c r="R3" s="1539"/>
      <c r="T3" s="1547" t="s">
        <v>921</v>
      </c>
      <c r="U3" s="1548"/>
      <c r="V3" s="1549"/>
    </row>
    <row r="4" spans="1:22">
      <c r="B4" s="1539" t="s">
        <v>4</v>
      </c>
      <c r="C4" s="1539"/>
      <c r="D4" s="1539"/>
      <c r="E4" s="1539"/>
      <c r="F4" s="1539"/>
      <c r="G4" s="1539"/>
      <c r="I4" s="1550"/>
      <c r="J4" s="1551"/>
      <c r="K4" s="1551"/>
      <c r="L4" s="1552"/>
      <c r="O4" s="1539" t="s">
        <v>4</v>
      </c>
      <c r="P4" s="1539"/>
      <c r="Q4" s="1539"/>
      <c r="R4" s="1539"/>
      <c r="T4" s="1550"/>
      <c r="U4" s="1551"/>
      <c r="V4" s="1552"/>
    </row>
    <row r="5" spans="1:22" ht="15.75" customHeight="1">
      <c r="B5" s="1540" t="s">
        <v>241</v>
      </c>
      <c r="C5" s="1554"/>
      <c r="D5" s="1541"/>
      <c r="E5" s="1544" t="s">
        <v>242</v>
      </c>
      <c r="F5" s="1544"/>
      <c r="G5" s="1544"/>
      <c r="I5" s="1540" t="s">
        <v>241</v>
      </c>
      <c r="J5" s="1541"/>
      <c r="K5" s="1544" t="s">
        <v>242</v>
      </c>
      <c r="L5" s="1544"/>
      <c r="O5" s="1540" t="s">
        <v>241</v>
      </c>
      <c r="P5" s="1541"/>
      <c r="Q5" s="1544" t="s">
        <v>242</v>
      </c>
      <c r="R5" s="1544"/>
      <c r="T5" s="1540" t="s">
        <v>922</v>
      </c>
      <c r="U5" s="1545"/>
      <c r="V5" s="1541"/>
    </row>
    <row r="6" spans="1:22" ht="15.75" customHeight="1">
      <c r="B6" s="1542"/>
      <c r="C6" s="1546"/>
      <c r="D6" s="1543"/>
      <c r="E6" s="1544"/>
      <c r="F6" s="1544"/>
      <c r="G6" s="1544"/>
      <c r="I6" s="1542"/>
      <c r="J6" s="1543"/>
      <c r="K6" s="1544"/>
      <c r="L6" s="1544"/>
      <c r="O6" s="1542"/>
      <c r="P6" s="1543"/>
      <c r="Q6" s="1544"/>
      <c r="R6" s="1544"/>
      <c r="T6" s="1542"/>
      <c r="U6" s="1546"/>
      <c r="V6" s="1543"/>
    </row>
    <row r="7" spans="1:22">
      <c r="B7" s="264" t="s">
        <v>43</v>
      </c>
      <c r="C7" s="1" t="s">
        <v>44</v>
      </c>
      <c r="D7" s="7"/>
      <c r="E7" s="1553" t="s">
        <v>43</v>
      </c>
      <c r="F7" s="1537"/>
      <c r="G7" s="27"/>
      <c r="I7" s="264" t="s">
        <v>43</v>
      </c>
      <c r="J7" s="7"/>
      <c r="K7" s="26" t="s">
        <v>43</v>
      </c>
      <c r="L7" s="27"/>
      <c r="O7" s="264" t="s">
        <v>43</v>
      </c>
      <c r="P7" s="7"/>
      <c r="Q7" s="26" t="s">
        <v>43</v>
      </c>
      <c r="R7" s="27"/>
      <c r="T7" s="264" t="s">
        <v>43</v>
      </c>
      <c r="U7" s="1" t="s">
        <v>44</v>
      </c>
      <c r="V7" s="7"/>
    </row>
    <row r="8" spans="1:22">
      <c r="B8" s="391"/>
      <c r="C8" s="393">
        <v>0.15</v>
      </c>
      <c r="D8" s="392"/>
      <c r="E8" s="1146" t="s">
        <v>789</v>
      </c>
      <c r="F8" s="1283" t="s">
        <v>738</v>
      </c>
      <c r="G8" s="27"/>
      <c r="I8" s="391"/>
      <c r="J8" s="392"/>
      <c r="L8" s="27"/>
      <c r="O8" s="391"/>
      <c r="P8" s="392"/>
      <c r="Q8" s="26"/>
      <c r="R8" s="27"/>
      <c r="T8" s="391"/>
      <c r="U8" s="393">
        <v>0.05</v>
      </c>
      <c r="V8" s="392"/>
    </row>
    <row r="9" spans="1:22">
      <c r="B9" s="26"/>
      <c r="C9" s="1145"/>
      <c r="D9" s="27"/>
      <c r="E9" s="1284">
        <f>ZA_Whpkg_PVfarm</f>
        <v>65</v>
      </c>
      <c r="F9" s="1285">
        <f>ZA_Whpkg_UPS</f>
        <v>150</v>
      </c>
      <c r="G9" s="27"/>
      <c r="I9" s="26"/>
      <c r="J9" s="27"/>
      <c r="L9" s="27"/>
      <c r="O9" s="26"/>
      <c r="P9" s="27"/>
      <c r="Q9" s="26"/>
      <c r="R9" s="27"/>
      <c r="T9" s="26"/>
      <c r="U9" s="1145"/>
      <c r="V9" s="27"/>
    </row>
    <row r="10" spans="1:22">
      <c r="A10" s="1149" t="s">
        <v>5</v>
      </c>
      <c r="B10" s="541" t="s">
        <v>1</v>
      </c>
      <c r="C10" s="541" t="s">
        <v>1</v>
      </c>
      <c r="D10" s="766" t="s">
        <v>47</v>
      </c>
      <c r="E10" s="208" t="s">
        <v>1</v>
      </c>
      <c r="F10" s="208" t="s">
        <v>1</v>
      </c>
      <c r="G10" s="1147" t="s">
        <v>47</v>
      </c>
      <c r="I10" s="541" t="s">
        <v>137</v>
      </c>
      <c r="J10" s="766" t="s">
        <v>47</v>
      </c>
      <c r="K10" s="541" t="s">
        <v>137</v>
      </c>
      <c r="L10" s="28" t="s">
        <v>47</v>
      </c>
      <c r="O10" s="868" t="s">
        <v>647</v>
      </c>
      <c r="P10" s="869" t="s">
        <v>47</v>
      </c>
      <c r="Q10" s="868" t="s">
        <v>647</v>
      </c>
      <c r="R10" s="869" t="s">
        <v>47</v>
      </c>
      <c r="T10" s="208" t="s">
        <v>1</v>
      </c>
      <c r="U10" s="541" t="s">
        <v>1</v>
      </c>
      <c r="V10" s="766" t="s">
        <v>47</v>
      </c>
    </row>
    <row r="11" spans="1:22">
      <c r="A11" s="1148">
        <v>2010</v>
      </c>
      <c r="B11" s="763">
        <v>390</v>
      </c>
      <c r="C11" s="764">
        <v>470</v>
      </c>
      <c r="D11" s="765"/>
      <c r="E11" s="1286"/>
      <c r="F11" s="1286"/>
      <c r="G11" s="765"/>
      <c r="I11" s="763"/>
      <c r="J11" s="765"/>
      <c r="K11" s="763"/>
      <c r="L11" s="765"/>
      <c r="O11" s="763"/>
      <c r="P11" s="765"/>
      <c r="Q11" s="763"/>
      <c r="R11" s="765"/>
      <c r="T11" s="763"/>
      <c r="U11" s="764"/>
      <c r="V11" s="765"/>
    </row>
    <row r="12" spans="1:22">
      <c r="A12" s="1148">
        <v>2011</v>
      </c>
      <c r="B12" s="30">
        <f t="shared" ref="B12:C18" si="0">B11*(1+$D12)</f>
        <v>344.07333123307455</v>
      </c>
      <c r="C12" s="760">
        <f t="shared" si="0"/>
        <v>414.6524761013975</v>
      </c>
      <c r="D12" s="31">
        <f t="shared" ref="D12:D18" si="1">D13</f>
        <v>-0.11776068914596272</v>
      </c>
      <c r="E12" s="1287"/>
      <c r="F12" s="1287"/>
      <c r="G12" s="31"/>
      <c r="I12" s="30"/>
      <c r="J12" s="31"/>
      <c r="K12" s="30"/>
      <c r="L12" s="31"/>
      <c r="O12" s="30"/>
      <c r="P12" s="31"/>
      <c r="Q12" s="30"/>
      <c r="R12" s="31"/>
      <c r="T12" s="30"/>
      <c r="U12" s="760"/>
      <c r="V12" s="31"/>
    </row>
    <row r="13" spans="1:22">
      <c r="A13" s="1148">
        <v>2012</v>
      </c>
      <c r="B13" s="30">
        <f t="shared" si="0"/>
        <v>303.5550186303206</v>
      </c>
      <c r="C13" s="760">
        <f t="shared" si="0"/>
        <v>365.8227147596171</v>
      </c>
      <c r="D13" s="31">
        <f t="shared" si="1"/>
        <v>-0.11776068914596272</v>
      </c>
      <c r="E13" s="1287"/>
      <c r="F13" s="1287"/>
      <c r="G13" s="31"/>
      <c r="I13" s="30"/>
      <c r="J13" s="31"/>
      <c r="K13" s="30"/>
      <c r="L13" s="31"/>
      <c r="O13" s="30"/>
      <c r="P13" s="31"/>
      <c r="Q13" s="30"/>
      <c r="R13" s="31"/>
      <c r="T13" s="30"/>
      <c r="U13" s="760"/>
      <c r="V13" s="31"/>
    </row>
    <row r="14" spans="1:22">
      <c r="A14" s="1148">
        <v>2013</v>
      </c>
      <c r="B14" s="30">
        <f t="shared" si="0"/>
        <v>267.8081704426985</v>
      </c>
      <c r="C14" s="760">
        <f t="shared" si="0"/>
        <v>322.74317976427767</v>
      </c>
      <c r="D14" s="31">
        <f t="shared" si="1"/>
        <v>-0.11776068914596272</v>
      </c>
      <c r="E14" s="1287"/>
      <c r="F14" s="1287"/>
      <c r="G14" s="31"/>
      <c r="I14" s="30"/>
      <c r="J14" s="31"/>
      <c r="K14" s="30"/>
      <c r="L14" s="31"/>
      <c r="O14" s="30"/>
      <c r="P14" s="31"/>
      <c r="Q14" s="30"/>
      <c r="R14" s="31"/>
      <c r="T14" s="30"/>
      <c r="U14" s="760"/>
      <c r="V14" s="31"/>
    </row>
    <row r="15" spans="1:22">
      <c r="A15" s="1148">
        <v>2014</v>
      </c>
      <c r="B15" s="30">
        <f t="shared" si="0"/>
        <v>236.27089573244689</v>
      </c>
      <c r="C15" s="760">
        <f t="shared" si="0"/>
        <v>284.73672049807698</v>
      </c>
      <c r="D15" s="31">
        <f t="shared" si="1"/>
        <v>-0.11776068914596272</v>
      </c>
      <c r="E15" s="1287"/>
      <c r="F15" s="1287"/>
      <c r="G15" s="31"/>
      <c r="I15" s="30"/>
      <c r="J15" s="31"/>
      <c r="K15" s="30"/>
      <c r="L15" s="31"/>
      <c r="O15" s="30"/>
      <c r="P15" s="31"/>
      <c r="Q15" s="30"/>
      <c r="R15" s="31"/>
      <c r="T15" s="30"/>
      <c r="U15" s="760"/>
      <c r="V15" s="31"/>
    </row>
    <row r="16" spans="1:22">
      <c r="A16" s="1148">
        <v>2015</v>
      </c>
      <c r="B16" s="30">
        <f t="shared" si="0"/>
        <v>208.44747222586005</v>
      </c>
      <c r="C16" s="760">
        <f t="shared" si="0"/>
        <v>251.20592806706208</v>
      </c>
      <c r="D16" s="31">
        <f t="shared" si="1"/>
        <v>-0.11776068914596272</v>
      </c>
      <c r="E16" s="1287"/>
      <c r="F16" s="1287"/>
      <c r="G16" s="31"/>
      <c r="I16" s="30"/>
      <c r="J16" s="31"/>
      <c r="K16" s="30"/>
      <c r="L16" s="31"/>
      <c r="O16" s="30"/>
      <c r="P16" s="31"/>
      <c r="Q16" s="30"/>
      <c r="R16" s="31"/>
      <c r="T16" s="30"/>
      <c r="U16" s="760"/>
      <c r="V16" s="31"/>
    </row>
    <row r="17" spans="1:25">
      <c r="A17" s="1148">
        <v>2016</v>
      </c>
      <c r="B17" s="30">
        <f t="shared" si="0"/>
        <v>183.90055424580885</v>
      </c>
      <c r="C17" s="760">
        <f t="shared" si="0"/>
        <v>221.62374486033372</v>
      </c>
      <c r="D17" s="31">
        <f t="shared" si="1"/>
        <v>-0.11776068914596272</v>
      </c>
      <c r="E17" s="1287"/>
      <c r="F17" s="1287"/>
      <c r="G17" s="31"/>
      <c r="I17" s="30"/>
      <c r="J17" s="31"/>
      <c r="K17" s="30"/>
      <c r="L17" s="31"/>
      <c r="O17" s="30"/>
      <c r="P17" s="31"/>
      <c r="Q17" s="30"/>
      <c r="R17" s="31"/>
      <c r="T17" s="30"/>
      <c r="U17" s="760"/>
      <c r="V17" s="31"/>
    </row>
    <row r="18" spans="1:25">
      <c r="A18" s="1148">
        <v>2017</v>
      </c>
      <c r="B18" s="30">
        <f t="shared" si="0"/>
        <v>162.24429824349789</v>
      </c>
      <c r="C18" s="760">
        <f t="shared" si="0"/>
        <v>195.52517993447179</v>
      </c>
      <c r="D18" s="31">
        <f t="shared" si="1"/>
        <v>-0.11776068914596272</v>
      </c>
      <c r="E18" s="1287"/>
      <c r="F18" s="1287"/>
      <c r="G18" s="31"/>
      <c r="I18" s="30"/>
      <c r="J18" s="31"/>
      <c r="K18" s="30"/>
      <c r="L18" s="31"/>
      <c r="O18" s="30"/>
      <c r="P18" s="31"/>
      <c r="Q18" s="30"/>
      <c r="R18" s="31"/>
      <c r="T18" s="30"/>
      <c r="U18" s="760"/>
      <c r="V18" s="31"/>
    </row>
    <row r="19" spans="1:25">
      <c r="A19" s="1148">
        <v>2018</v>
      </c>
      <c r="B19" s="29">
        <v>150</v>
      </c>
      <c r="C19" s="767">
        <f>B19*(1+C$8)</f>
        <v>172.5</v>
      </c>
      <c r="D19" s="37">
        <f>(C19/C11)^(1/(A19-A11))-1</f>
        <v>-0.11776068914596272</v>
      </c>
      <c r="E19" s="1288"/>
      <c r="F19" s="1287"/>
      <c r="G19" s="37"/>
      <c r="I19" s="29"/>
      <c r="J19" s="37"/>
      <c r="K19" s="29"/>
      <c r="L19" s="37"/>
      <c r="O19" s="865"/>
      <c r="P19" s="37"/>
      <c r="Q19" s="29"/>
      <c r="R19" s="37"/>
      <c r="T19" s="29"/>
      <c r="U19" s="767"/>
      <c r="V19" s="37"/>
    </row>
    <row r="20" spans="1:25">
      <c r="A20" s="1148">
        <v>2019</v>
      </c>
      <c r="B20" s="1433">
        <v>132</v>
      </c>
      <c r="C20" s="1433">
        <v>152</v>
      </c>
      <c r="D20" s="1434">
        <v>-0.11799999999999999</v>
      </c>
      <c r="E20" s="1422"/>
      <c r="F20" s="1422"/>
      <c r="G20" s="1423"/>
      <c r="I20" s="866"/>
      <c r="J20" s="861"/>
      <c r="K20" s="30"/>
      <c r="L20" s="31"/>
      <c r="O20" s="865"/>
      <c r="P20" s="863"/>
      <c r="Q20" s="30"/>
      <c r="R20" s="31"/>
      <c r="T20" s="866"/>
      <c r="U20" s="760"/>
      <c r="V20" s="861"/>
      <c r="X20" s="1537" t="s">
        <v>794</v>
      </c>
      <c r="Y20" s="1537"/>
    </row>
    <row r="21" spans="1:25">
      <c r="A21" s="1148">
        <v>2020</v>
      </c>
      <c r="B21" s="1433">
        <v>117</v>
      </c>
      <c r="C21" s="1433">
        <v>134</v>
      </c>
      <c r="D21" s="1435">
        <v>-0.11799999999999999</v>
      </c>
      <c r="E21" s="1422"/>
      <c r="F21" s="1422"/>
      <c r="G21" s="1424"/>
      <c r="I21" s="973">
        <v>3500</v>
      </c>
      <c r="J21" s="37"/>
      <c r="K21" s="866">
        <f ca="1">OFFSET('AZA CyclesNbr'!$J$12,0,M21)</f>
        <v>994.11856532193474</v>
      </c>
      <c r="L21" s="39"/>
      <c r="M21" s="1150">
        <v>0</v>
      </c>
      <c r="O21" s="865">
        <f t="shared" ref="O21:O28" si="2">B21/I21</f>
        <v>3.3428571428571426E-2</v>
      </c>
      <c r="P21" s="863"/>
      <c r="Q21" s="866"/>
      <c r="R21" s="39"/>
      <c r="T21" s="973">
        <v>80</v>
      </c>
      <c r="U21" s="760">
        <f>T21*(1+U$8)</f>
        <v>84</v>
      </c>
      <c r="V21" s="37"/>
      <c r="X21" s="1" t="str">
        <f>E8</f>
        <v>PV-Farm</v>
      </c>
      <c r="Y21" s="1" t="str">
        <f>F8</f>
        <v>UPS</v>
      </c>
    </row>
    <row r="22" spans="1:25">
      <c r="A22" s="1148">
        <v>2021</v>
      </c>
      <c r="B22" s="1436">
        <v>110</v>
      </c>
      <c r="C22" s="1437">
        <f>B22*(1+C$8)</f>
        <v>126.49999999999999</v>
      </c>
      <c r="D22" s="1434">
        <v>-0.11799999999999999</v>
      </c>
      <c r="E22" s="1422"/>
      <c r="F22" s="1422"/>
      <c r="G22" s="1423"/>
      <c r="I22" s="866">
        <f>I21*(1+J22)</f>
        <v>3558.9102646667952</v>
      </c>
      <c r="J22" s="864">
        <f t="shared" ref="J22:J28" si="3">J23</f>
        <v>1.6831504190512936E-2</v>
      </c>
      <c r="K22" s="866">
        <f ca="1">OFFSET('AZA CyclesNbr'!$J$12,0,M22)</f>
        <v>1308.0507438446507</v>
      </c>
      <c r="L22" s="863">
        <f ca="1">(K22/K21)-1</f>
        <v>0.31578947368421018</v>
      </c>
      <c r="M22" s="1150">
        <f>M21+1</f>
        <v>1</v>
      </c>
      <c r="O22" s="865">
        <f t="shared" si="2"/>
        <v>3.090833761449133E-2</v>
      </c>
      <c r="P22" s="863">
        <f>(O22/O21)-1</f>
        <v>-7.5391609822908823E-2</v>
      </c>
      <c r="Q22" s="866"/>
      <c r="R22" s="863"/>
      <c r="T22" s="866">
        <f>T21*(1+V22)</f>
        <v>79.2</v>
      </c>
      <c r="U22" s="760">
        <f t="shared" ref="U22:U31" si="4">T22*(1+U$8)</f>
        <v>83.160000000000011</v>
      </c>
      <c r="V22" s="864">
        <f t="shared" ref="V22:V25" si="5">V23</f>
        <v>-0.01</v>
      </c>
      <c r="X22" s="1154">
        <f t="shared" ref="X22:X31" si="6">E22/(1000/ZA_Whpkg_PVfarm)</f>
        <v>0</v>
      </c>
      <c r="Y22" s="1154">
        <f t="shared" ref="Y22:Y31" si="7">F22/(1000/ZA_Whpkg_UPS)</f>
        <v>0</v>
      </c>
    </row>
    <row r="23" spans="1:25">
      <c r="A23" s="1148">
        <v>2022</v>
      </c>
      <c r="B23" s="1437">
        <f>B22*(1+D23)</f>
        <v>104.94</v>
      </c>
      <c r="C23" s="1437">
        <f t="shared" ref="C23:C31" si="8">B23*(1+C$8)</f>
        <v>120.68099999999998</v>
      </c>
      <c r="D23" s="1434">
        <v>-4.5999999999999999E-2</v>
      </c>
      <c r="E23" s="1425">
        <f t="shared" ref="E23:E24" si="9">E24/(1+G24)</f>
        <v>37.400654511453958</v>
      </c>
      <c r="F23" s="1422">
        <f t="shared" ref="F23:F31" si="10">E23*(1+opt_HD_cells_overhead)</f>
        <v>28.362163004519253</v>
      </c>
      <c r="G23" s="1424">
        <v>-0.08</v>
      </c>
      <c r="I23" s="866">
        <f t="shared" ref="I23:I28" si="11">I22*(1+J23)</f>
        <v>3618.8120777001941</v>
      </c>
      <c r="J23" s="864">
        <f t="shared" si="3"/>
        <v>1.6831504190512936E-2</v>
      </c>
      <c r="K23" s="866">
        <f ca="1">OFFSET('AZA CyclesNbr'!$J$12,0,M23)</f>
        <v>1700.4659669980458</v>
      </c>
      <c r="L23" s="863">
        <f t="shared" ref="L23:L29" ca="1" si="12">(K23/K22)-1</f>
        <v>0.29999999999999982</v>
      </c>
      <c r="M23" s="1150">
        <f t="shared" ref="M23:M31" si="13">M22+1</f>
        <v>2</v>
      </c>
      <c r="O23" s="865">
        <f t="shared" si="2"/>
        <v>2.8998466277555601E-2</v>
      </c>
      <c r="P23" s="863">
        <f t="shared" ref="P23:R31" si="14">(O23/O22)-1</f>
        <v>-6.1791460956486022E-2</v>
      </c>
      <c r="Q23" s="870">
        <f ca="1">E23/K23</f>
        <v>2.1994356392489294E-2</v>
      </c>
      <c r="R23" s="863"/>
      <c r="T23" s="866">
        <f t="shared" ref="T23:T30" si="15">T22*(1+V23)</f>
        <v>78.408000000000001</v>
      </c>
      <c r="U23" s="760">
        <f t="shared" si="4"/>
        <v>82.328400000000002</v>
      </c>
      <c r="V23" s="864">
        <f t="shared" si="5"/>
        <v>-0.01</v>
      </c>
      <c r="X23" s="1154">
        <f t="shared" si="6"/>
        <v>2.4310425432445073</v>
      </c>
      <c r="Y23" s="1154">
        <f t="shared" si="7"/>
        <v>4.2543244506778874</v>
      </c>
    </row>
    <row r="24" spans="1:25">
      <c r="A24" s="1148">
        <v>2023</v>
      </c>
      <c r="B24" s="1437">
        <f t="shared" ref="B24:B31" si="16">B23*(1+D24)</f>
        <v>100.11275999999999</v>
      </c>
      <c r="C24" s="1437">
        <f t="shared" si="8"/>
        <v>115.12967399999998</v>
      </c>
      <c r="D24" s="1434">
        <v>-4.5999999999999999E-2</v>
      </c>
      <c r="E24" s="1425">
        <f t="shared" si="9"/>
        <v>34.408602150537639</v>
      </c>
      <c r="F24" s="1422">
        <f t="shared" si="10"/>
        <v>26.093189964157713</v>
      </c>
      <c r="G24" s="1424">
        <v>-0.08</v>
      </c>
      <c r="I24" s="866">
        <f t="shared" si="11"/>
        <v>3679.7221283506838</v>
      </c>
      <c r="J24" s="864">
        <f t="shared" si="3"/>
        <v>1.6831504190512936E-2</v>
      </c>
      <c r="K24" s="866">
        <f ca="1">OFFSET('AZA CyclesNbr'!$J$12,0,M24)</f>
        <v>2145.2032199052278</v>
      </c>
      <c r="L24" s="863">
        <f t="shared" ca="1" si="12"/>
        <v>0.26153846153846194</v>
      </c>
      <c r="M24" s="1150">
        <f t="shared" si="13"/>
        <v>3</v>
      </c>
      <c r="O24" s="865">
        <f t="shared" si="2"/>
        <v>2.720660868076805E-2</v>
      </c>
      <c r="P24" s="863">
        <f t="shared" si="14"/>
        <v>-6.1791460956485911E-2</v>
      </c>
      <c r="Q24" s="870">
        <f t="shared" ref="Q24:Q31" ca="1" si="17">E24/K24</f>
        <v>1.603978673501048E-2</v>
      </c>
      <c r="R24" s="863">
        <f t="shared" ca="1" si="14"/>
        <v>-0.27073170731707341</v>
      </c>
      <c r="T24" s="866">
        <f t="shared" si="15"/>
        <v>77.623919999999998</v>
      </c>
      <c r="U24" s="760">
        <f t="shared" si="4"/>
        <v>81.505116000000001</v>
      </c>
      <c r="V24" s="864">
        <f t="shared" si="5"/>
        <v>-0.01</v>
      </c>
      <c r="X24" s="1154">
        <f t="shared" si="6"/>
        <v>2.2365591397849465</v>
      </c>
      <c r="Y24" s="1154">
        <f t="shared" si="7"/>
        <v>3.9139784946236569</v>
      </c>
    </row>
    <row r="25" spans="1:25">
      <c r="A25" s="1148">
        <v>2024</v>
      </c>
      <c r="B25" s="1437">
        <f t="shared" si="16"/>
        <v>95.507573039999997</v>
      </c>
      <c r="C25" s="1437">
        <f t="shared" si="8"/>
        <v>109.83370899599998</v>
      </c>
      <c r="D25" s="1434">
        <v>-4.5999999999999999E-2</v>
      </c>
      <c r="E25" s="1426">
        <v>32</v>
      </c>
      <c r="F25" s="1422">
        <f t="shared" si="10"/>
        <v>24.266666666666669</v>
      </c>
      <c r="G25" s="1424">
        <v>-7.0000000000000007E-2</v>
      </c>
      <c r="I25" s="866">
        <f t="shared" si="11"/>
        <v>3741.6573867739417</v>
      </c>
      <c r="J25" s="864">
        <f t="shared" si="3"/>
        <v>1.6831504190512936E-2</v>
      </c>
      <c r="K25" s="866">
        <f ca="1">OFFSET('AZA CyclesNbr'!$J$12,0,M25)</f>
        <v>2616.1014876893014</v>
      </c>
      <c r="L25" s="863">
        <f t="shared" ca="1" si="12"/>
        <v>0.21951219512195075</v>
      </c>
      <c r="M25" s="1150">
        <f t="shared" si="13"/>
        <v>4</v>
      </c>
      <c r="O25" s="865">
        <f t="shared" si="2"/>
        <v>2.552547258271198E-2</v>
      </c>
      <c r="P25" s="863">
        <f t="shared" si="14"/>
        <v>-6.1791460956485911E-2</v>
      </c>
      <c r="Q25" s="870">
        <f t="shared" ca="1" si="17"/>
        <v>1.2231941364118993E-2</v>
      </c>
      <c r="R25" s="863">
        <f t="shared" ca="1" si="14"/>
        <v>-0.23739999999999994</v>
      </c>
      <c r="T25" s="866">
        <f t="shared" si="15"/>
        <v>76.847680799999992</v>
      </c>
      <c r="U25" s="760">
        <f t="shared" si="4"/>
        <v>80.690064839999991</v>
      </c>
      <c r="V25" s="864">
        <f t="shared" si="5"/>
        <v>-0.01</v>
      </c>
      <c r="X25" s="1154">
        <f t="shared" si="6"/>
        <v>2.08</v>
      </c>
      <c r="Y25" s="1154">
        <f t="shared" si="7"/>
        <v>3.64</v>
      </c>
    </row>
    <row r="26" spans="1:25">
      <c r="A26" s="1148">
        <v>2025</v>
      </c>
      <c r="B26" s="1437">
        <f t="shared" si="16"/>
        <v>91.114224680159992</v>
      </c>
      <c r="C26" s="1437">
        <f t="shared" si="8"/>
        <v>104.78135838218398</v>
      </c>
      <c r="D26" s="1434">
        <v>-4.5999999999999999E-2</v>
      </c>
      <c r="E26" s="1425">
        <f t="shared" ref="E26:E31" si="18">E25*(1+G26)</f>
        <v>30.4</v>
      </c>
      <c r="F26" s="1422">
        <f t="shared" si="10"/>
        <v>23.053333333333335</v>
      </c>
      <c r="G26" s="1424">
        <v>-0.05</v>
      </c>
      <c r="I26" s="866">
        <f t="shared" si="11"/>
        <v>3804.635108758891</v>
      </c>
      <c r="J26" s="864">
        <f t="shared" si="3"/>
        <v>1.6831504190512936E-2</v>
      </c>
      <c r="K26" s="866">
        <f ca="1">OFFSET('AZA CyclesNbr'!$J$12,0,M26)</f>
        <v>3139.3217852271614</v>
      </c>
      <c r="L26" s="863">
        <f t="shared" ca="1" si="12"/>
        <v>0.19999999999999996</v>
      </c>
      <c r="M26" s="1150">
        <f t="shared" si="13"/>
        <v>5</v>
      </c>
      <c r="O26" s="865">
        <f t="shared" si="2"/>
        <v>2.3948216340221477E-2</v>
      </c>
      <c r="P26" s="863">
        <f t="shared" si="14"/>
        <v>-6.1791460956486022E-2</v>
      </c>
      <c r="Q26" s="870">
        <f t="shared" ca="1" si="17"/>
        <v>9.6836202465942038E-3</v>
      </c>
      <c r="R26" s="863">
        <f t="shared" ca="1" si="14"/>
        <v>-0.20833333333333326</v>
      </c>
      <c r="T26" s="866">
        <f t="shared" si="15"/>
        <v>76.079203991999989</v>
      </c>
      <c r="U26" s="760">
        <f t="shared" si="4"/>
        <v>79.883164191599988</v>
      </c>
      <c r="V26" s="39">
        <v>-0.01</v>
      </c>
      <c r="X26" s="1154">
        <f t="shared" si="6"/>
        <v>1.9759999999999998</v>
      </c>
      <c r="Y26" s="1154">
        <f t="shared" si="7"/>
        <v>3.4580000000000002</v>
      </c>
    </row>
    <row r="27" spans="1:25">
      <c r="A27" s="1148">
        <v>2026</v>
      </c>
      <c r="B27" s="1437">
        <f t="shared" si="16"/>
        <v>86.922970344872624</v>
      </c>
      <c r="C27" s="1437">
        <f t="shared" si="8"/>
        <v>99.961415896603512</v>
      </c>
      <c r="D27" s="1434">
        <v>-4.5999999999999999E-2</v>
      </c>
      <c r="E27" s="1425">
        <f t="shared" si="18"/>
        <v>28.88</v>
      </c>
      <c r="F27" s="1422">
        <f t="shared" si="10"/>
        <v>21.90066666666667</v>
      </c>
      <c r="G27" s="1423">
        <f t="shared" ref="G27:G31" si="19">G26</f>
        <v>-0.05</v>
      </c>
      <c r="I27" s="866">
        <f t="shared" si="11"/>
        <v>3868.6728405353388</v>
      </c>
      <c r="J27" s="864">
        <f t="shared" si="3"/>
        <v>1.6831504190512936E-2</v>
      </c>
      <c r="K27" s="866">
        <f ca="1">OFFSET('AZA CyclesNbr'!$J$12,0,M27)</f>
        <v>3662.5420827650214</v>
      </c>
      <c r="L27" s="863">
        <f t="shared" ca="1" si="12"/>
        <v>0.16666666666666652</v>
      </c>
      <c r="M27" s="1150">
        <f t="shared" si="13"/>
        <v>6</v>
      </c>
      <c r="O27" s="865">
        <f t="shared" si="2"/>
        <v>2.2468421065257201E-2</v>
      </c>
      <c r="P27" s="863">
        <f t="shared" si="14"/>
        <v>-6.1791460956486022E-2</v>
      </c>
      <c r="Q27" s="870">
        <f t="shared" ca="1" si="17"/>
        <v>7.8852336293695653E-3</v>
      </c>
      <c r="R27" s="863">
        <f t="shared" ca="1" si="14"/>
        <v>-0.18571428571428583</v>
      </c>
      <c r="T27" s="866">
        <f t="shared" si="15"/>
        <v>75.318411952079984</v>
      </c>
      <c r="U27" s="760">
        <f t="shared" si="4"/>
        <v>79.084332549683992</v>
      </c>
      <c r="V27" s="31">
        <f t="shared" ref="V27:V31" si="20">V26</f>
        <v>-0.01</v>
      </c>
      <c r="X27" s="1154">
        <f t="shared" si="6"/>
        <v>1.8772</v>
      </c>
      <c r="Y27" s="1154">
        <f t="shared" si="7"/>
        <v>3.2851000000000004</v>
      </c>
    </row>
    <row r="28" spans="1:25">
      <c r="A28" s="1148">
        <v>2027</v>
      </c>
      <c r="B28" s="1437">
        <f t="shared" si="16"/>
        <v>82.92451370900848</v>
      </c>
      <c r="C28" s="1437">
        <f t="shared" si="8"/>
        <v>95.363190765359747</v>
      </c>
      <c r="D28" s="1434">
        <v>-4.5999999999999999E-2</v>
      </c>
      <c r="E28" s="1425">
        <f t="shared" si="18"/>
        <v>27.435999999999996</v>
      </c>
      <c r="F28" s="1422">
        <f t="shared" si="10"/>
        <v>20.805633333333333</v>
      </c>
      <c r="G28" s="1423">
        <f t="shared" si="19"/>
        <v>-0.05</v>
      </c>
      <c r="I28" s="866">
        <f t="shared" si="11"/>
        <v>3933.7884236625328</v>
      </c>
      <c r="J28" s="864">
        <f t="shared" si="3"/>
        <v>1.6831504190512936E-2</v>
      </c>
      <c r="K28" s="866">
        <f ca="1">OFFSET('AZA CyclesNbr'!$J$12,0,M28)</f>
        <v>4185.7623803028828</v>
      </c>
      <c r="L28" s="863">
        <f t="shared" ca="1" si="12"/>
        <v>0.14285714285714324</v>
      </c>
      <c r="M28" s="1150">
        <f t="shared" si="13"/>
        <v>7</v>
      </c>
      <c r="O28" s="865">
        <f t="shared" si="2"/>
        <v>2.1080064502249477E-2</v>
      </c>
      <c r="P28" s="863">
        <f t="shared" si="14"/>
        <v>-6.17914609564858E-2</v>
      </c>
      <c r="Q28" s="870">
        <f t="shared" ca="1" si="17"/>
        <v>6.5546004544134494E-3</v>
      </c>
      <c r="R28" s="863">
        <f t="shared" ca="1" si="14"/>
        <v>-0.16875000000000018</v>
      </c>
      <c r="T28" s="866">
        <f t="shared" si="15"/>
        <v>74.565227832559188</v>
      </c>
      <c r="U28" s="760">
        <f t="shared" si="4"/>
        <v>78.293489224187155</v>
      </c>
      <c r="V28" s="31">
        <f t="shared" si="20"/>
        <v>-0.01</v>
      </c>
      <c r="X28" s="1154">
        <f t="shared" si="6"/>
        <v>1.7833399999999997</v>
      </c>
      <c r="Y28" s="1154">
        <f t="shared" si="7"/>
        <v>3.1208449999999996</v>
      </c>
    </row>
    <row r="29" spans="1:25">
      <c r="A29" s="1148">
        <v>2028</v>
      </c>
      <c r="B29" s="1438">
        <f t="shared" si="16"/>
        <v>79.109986078394087</v>
      </c>
      <c r="C29" s="1438">
        <f t="shared" si="8"/>
        <v>90.976483990153199</v>
      </c>
      <c r="D29" s="1439">
        <v>-4.5999999999999999E-2</v>
      </c>
      <c r="E29" s="1427">
        <f t="shared" si="18"/>
        <v>26.064199999999996</v>
      </c>
      <c r="F29" s="1428">
        <f t="shared" si="10"/>
        <v>19.765351666666668</v>
      </c>
      <c r="G29" s="1429">
        <f t="shared" si="19"/>
        <v>-0.05</v>
      </c>
      <c r="I29" s="973">
        <v>4000</v>
      </c>
      <c r="J29" s="37">
        <f>(I29/I21)^(1/(A29-A21))-1</f>
        <v>1.6831504190512936E-2</v>
      </c>
      <c r="K29" s="866">
        <f ca="1">OFFSET('AZA CyclesNbr'!$J$12,0,M29)</f>
        <v>4708.9826778407432</v>
      </c>
      <c r="L29" s="863">
        <f t="shared" ca="1" si="12"/>
        <v>0.125</v>
      </c>
      <c r="M29" s="1150">
        <f t="shared" si="13"/>
        <v>8</v>
      </c>
      <c r="O29" s="865">
        <f>B29/I29</f>
        <v>1.9777496519598523E-2</v>
      </c>
      <c r="P29" s="863">
        <f t="shared" si="14"/>
        <v>-6.1791460956486022E-2</v>
      </c>
      <c r="Q29" s="870">
        <f t="shared" ca="1" si="17"/>
        <v>5.5349959392824678E-3</v>
      </c>
      <c r="R29" s="863">
        <f t="shared" ca="1" si="14"/>
        <v>-0.15555555555555567</v>
      </c>
      <c r="T29" s="866">
        <f t="shared" si="15"/>
        <v>73.819575554233595</v>
      </c>
      <c r="U29" s="760">
        <f t="shared" si="4"/>
        <v>77.510554331945272</v>
      </c>
      <c r="V29" s="31">
        <f t="shared" si="20"/>
        <v>-0.01</v>
      </c>
      <c r="X29" s="1154">
        <f t="shared" si="6"/>
        <v>1.6941729999999997</v>
      </c>
      <c r="Y29" s="1154">
        <f t="shared" si="7"/>
        <v>2.96480275</v>
      </c>
    </row>
    <row r="30" spans="1:25">
      <c r="A30" s="1148">
        <v>2029</v>
      </c>
      <c r="B30" s="1437">
        <f t="shared" si="16"/>
        <v>75.47092671878795</v>
      </c>
      <c r="C30" s="1437">
        <f t="shared" si="8"/>
        <v>86.791565726606137</v>
      </c>
      <c r="D30" s="1434">
        <v>-4.5999999999999999E-2</v>
      </c>
      <c r="E30" s="1425">
        <f t="shared" si="18"/>
        <v>24.760989999999996</v>
      </c>
      <c r="F30" s="1422">
        <f t="shared" si="10"/>
        <v>18.777084083333332</v>
      </c>
      <c r="G30" s="1423">
        <f t="shared" si="19"/>
        <v>-0.05</v>
      </c>
      <c r="I30" s="866">
        <f>I29*(1+J30)</f>
        <v>4067.3260167620519</v>
      </c>
      <c r="J30" s="864">
        <f>J29</f>
        <v>1.6831504190512936E-2</v>
      </c>
      <c r="K30" s="866">
        <f ca="1">K29*(1+L30)</f>
        <v>5085.7012920680027</v>
      </c>
      <c r="L30" s="861">
        <v>0.08</v>
      </c>
      <c r="M30" s="1150">
        <f t="shared" si="13"/>
        <v>9</v>
      </c>
      <c r="O30" s="865">
        <f>B30/I30</f>
        <v>1.8555416115590709E-2</v>
      </c>
      <c r="P30" s="863">
        <f t="shared" si="14"/>
        <v>-6.1791460956486244E-2</v>
      </c>
      <c r="Q30" s="870">
        <f t="shared" ca="1" si="17"/>
        <v>4.8687464280725411E-3</v>
      </c>
      <c r="R30" s="863">
        <f t="shared" ca="1" si="14"/>
        <v>-0.12037037037037035</v>
      </c>
      <c r="T30" s="866">
        <f t="shared" si="15"/>
        <v>73.081379798691259</v>
      </c>
      <c r="U30" s="760">
        <f t="shared" si="4"/>
        <v>76.735448788625831</v>
      </c>
      <c r="V30" s="31">
        <f t="shared" si="20"/>
        <v>-0.01</v>
      </c>
      <c r="X30" s="1154">
        <f t="shared" si="6"/>
        <v>1.6094643499999997</v>
      </c>
      <c r="Y30" s="1154">
        <f t="shared" si="7"/>
        <v>2.8165626124999998</v>
      </c>
    </row>
    <row r="31" spans="1:25">
      <c r="A31" s="1148">
        <v>2030</v>
      </c>
      <c r="B31" s="1437">
        <f t="shared" si="16"/>
        <v>71.999264089723695</v>
      </c>
      <c r="C31" s="1437">
        <f t="shared" si="8"/>
        <v>82.799153703182242</v>
      </c>
      <c r="D31" s="1434">
        <v>-4.5999999999999999E-2</v>
      </c>
      <c r="E31" s="1430">
        <f t="shared" si="18"/>
        <v>23.522940499999994</v>
      </c>
      <c r="F31" s="1431">
        <f t="shared" si="10"/>
        <v>17.838229879166665</v>
      </c>
      <c r="G31" s="1432">
        <f t="shared" si="19"/>
        <v>-0.05</v>
      </c>
      <c r="I31" s="867">
        <f>I30*(1+J31)</f>
        <v>4135.7852316573644</v>
      </c>
      <c r="J31" s="42">
        <f>J30</f>
        <v>1.6831504190512936E-2</v>
      </c>
      <c r="K31" s="867">
        <f ca="1">K30*(1+L31)</f>
        <v>5492.5573954334432</v>
      </c>
      <c r="L31" s="862">
        <v>0.08</v>
      </c>
      <c r="M31" s="1150">
        <f t="shared" si="13"/>
        <v>10</v>
      </c>
      <c r="O31" s="871">
        <f>B31/I31</f>
        <v>1.7408849845152837E-2</v>
      </c>
      <c r="P31" s="872">
        <f t="shared" si="14"/>
        <v>-6.17914609564858E-2</v>
      </c>
      <c r="Q31" s="873">
        <f t="shared" ca="1" si="17"/>
        <v>4.2826936172860311E-3</v>
      </c>
      <c r="R31" s="872">
        <f t="shared" ca="1" si="14"/>
        <v>-0.12037037037037046</v>
      </c>
      <c r="T31" s="867">
        <f>T30*(1+V31)</f>
        <v>72.350566000704347</v>
      </c>
      <c r="U31" s="41">
        <f t="shared" si="4"/>
        <v>75.968094300739565</v>
      </c>
      <c r="V31" s="42">
        <f t="shared" si="20"/>
        <v>-0.01</v>
      </c>
      <c r="X31" s="1154">
        <f t="shared" si="6"/>
        <v>1.5289911324999996</v>
      </c>
      <c r="Y31" s="1154">
        <f t="shared" si="7"/>
        <v>2.6757344818749997</v>
      </c>
    </row>
    <row r="32" spans="1:25">
      <c r="B32" s="761"/>
      <c r="C32" s="762"/>
      <c r="D32" s="762"/>
    </row>
    <row r="33" spans="2:25">
      <c r="I33" s="1538" t="s">
        <v>692</v>
      </c>
      <c r="J33" s="1538"/>
      <c r="O33" s="875" t="s">
        <v>690</v>
      </c>
      <c r="P33" s="874"/>
      <c r="Q33" s="771"/>
      <c r="R33" s="771"/>
      <c r="X33" s="1154">
        <f>50%*35%*3.5+50%*0.6+10%*3+3%*10</f>
        <v>1.5125</v>
      </c>
      <c r="Y33" t="s">
        <v>795</v>
      </c>
    </row>
    <row r="34" spans="2:25">
      <c r="B34" s="3" t="s">
        <v>4</v>
      </c>
      <c r="O34" s="976">
        <f>O21/O31</f>
        <v>1.9202056267880887</v>
      </c>
      <c r="P34" s="977" t="s">
        <v>648</v>
      </c>
      <c r="Q34" s="771"/>
      <c r="R34" s="771"/>
    </row>
    <row r="35" spans="2:25" ht="14" thickBot="1">
      <c r="B35" s="11" t="s">
        <v>50</v>
      </c>
    </row>
    <row r="36" spans="2:25">
      <c r="B36" s="11" t="s">
        <v>51</v>
      </c>
      <c r="G36" s="1127" t="s">
        <v>784</v>
      </c>
      <c r="H36" s="1128"/>
      <c r="I36" s="1129"/>
      <c r="J36" s="1129"/>
      <c r="K36" s="1130">
        <v>65</v>
      </c>
      <c r="L36" s="1128" t="s">
        <v>132</v>
      </c>
      <c r="M36" s="1151"/>
      <c r="N36" s="1131"/>
      <c r="O36" s="1131"/>
      <c r="P36" s="1131"/>
      <c r="Q36" s="1131"/>
      <c r="R36" s="1132"/>
    </row>
    <row r="37" spans="2:25">
      <c r="G37" s="735"/>
      <c r="R37" s="1133"/>
    </row>
    <row r="38" spans="2:25">
      <c r="B38" s="969" t="s">
        <v>788</v>
      </c>
      <c r="G38" s="1134" t="s">
        <v>785</v>
      </c>
      <c r="H38" s="1135"/>
      <c r="I38" s="1135"/>
      <c r="J38" s="1135"/>
      <c r="K38" s="1136">
        <v>150</v>
      </c>
      <c r="L38" s="1135" t="s">
        <v>132</v>
      </c>
      <c r="M38" s="1" t="s">
        <v>790</v>
      </c>
      <c r="R38" s="1133"/>
    </row>
    <row r="39" spans="2:25">
      <c r="G39" s="735"/>
      <c r="K39" s="1137">
        <v>1.75</v>
      </c>
      <c r="L39" s="1135" t="s">
        <v>786</v>
      </c>
      <c r="M39" s="1152"/>
      <c r="N39" s="1138"/>
      <c r="O39" s="771"/>
      <c r="P39" s="771"/>
      <c r="R39" s="1133"/>
    </row>
    <row r="40" spans="2:25" ht="14" thickBot="1">
      <c r="G40" s="1139"/>
      <c r="H40" s="1140"/>
      <c r="I40" s="1142">
        <f>K39/(K38/K36)-1</f>
        <v>-0.24166666666666659</v>
      </c>
      <c r="J40" s="1143" t="s">
        <v>787</v>
      </c>
      <c r="K40" s="1144"/>
      <c r="L40" s="1144"/>
      <c r="M40" s="1153"/>
      <c r="N40" s="1144"/>
      <c r="O40" s="1140"/>
      <c r="P40" s="1140"/>
      <c r="Q40" s="1140"/>
      <c r="R40" s="1141"/>
    </row>
  </sheetData>
  <mergeCells count="14">
    <mergeCell ref="E7:F7"/>
    <mergeCell ref="B3:G4"/>
    <mergeCell ref="B5:D6"/>
    <mergeCell ref="E5:G6"/>
    <mergeCell ref="I3:L4"/>
    <mergeCell ref="I5:J6"/>
    <mergeCell ref="K5:L6"/>
    <mergeCell ref="X20:Y20"/>
    <mergeCell ref="I33:J33"/>
    <mergeCell ref="O3:R4"/>
    <mergeCell ref="O5:P6"/>
    <mergeCell ref="Q5:R6"/>
    <mergeCell ref="T5:V6"/>
    <mergeCell ref="T3:V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00B050"/>
  </sheetPr>
  <dimension ref="B1:AB27"/>
  <sheetViews>
    <sheetView zoomScale="90" zoomScaleNormal="90" workbookViewId="0">
      <selection activeCell="D21" sqref="D21"/>
    </sheetView>
  </sheetViews>
  <sheetFormatPr baseColWidth="10" defaultColWidth="11.5" defaultRowHeight="12.5" customHeight="1"/>
  <cols>
    <col min="1" max="2" width="1" style="75" customWidth="1"/>
    <col min="3" max="3" width="10.33203125" style="75" customWidth="1"/>
    <col min="4" max="7" width="7.5" style="75" customWidth="1"/>
    <col min="8" max="8" width="8.33203125" style="75" customWidth="1"/>
    <col min="9" max="9" width="7.5" style="75" customWidth="1"/>
    <col min="10" max="19" width="9.33203125" style="75" customWidth="1"/>
    <col min="20" max="20" width="1.5" style="75" customWidth="1"/>
    <col min="21" max="22" width="8.1640625" style="75" customWidth="1"/>
    <col min="23" max="27" width="7" style="75" customWidth="1"/>
    <col min="28" max="28" width="13.33203125" style="75" customWidth="1"/>
    <col min="29" max="29" width="1" style="75" customWidth="1"/>
    <col min="30" max="265" width="11.5" style="75"/>
    <col min="266" max="267" width="1" style="75" customWidth="1"/>
    <col min="268" max="268" width="8.1640625" style="75" customWidth="1"/>
    <col min="269" max="272" width="7.5" style="75" customWidth="1"/>
    <col min="273" max="273" width="9.5" style="75" customWidth="1"/>
    <col min="274" max="274" width="10.1640625" style="75" customWidth="1"/>
    <col min="275" max="275" width="8.5" style="75" customWidth="1"/>
    <col min="276" max="276" width="1.5" style="75" customWidth="1"/>
    <col min="277" max="284" width="8.1640625" style="75" customWidth="1"/>
    <col min="285" max="285" width="1" style="75" customWidth="1"/>
    <col min="286" max="521" width="11.5" style="75"/>
    <col min="522" max="523" width="1" style="75" customWidth="1"/>
    <col min="524" max="524" width="8.1640625" style="75" customWidth="1"/>
    <col min="525" max="528" width="7.5" style="75" customWidth="1"/>
    <col min="529" max="529" width="9.5" style="75" customWidth="1"/>
    <col min="530" max="530" width="10.1640625" style="75" customWidth="1"/>
    <col min="531" max="531" width="8.5" style="75" customWidth="1"/>
    <col min="532" max="532" width="1.5" style="75" customWidth="1"/>
    <col min="533" max="540" width="8.1640625" style="75" customWidth="1"/>
    <col min="541" max="541" width="1" style="75" customWidth="1"/>
    <col min="542" max="777" width="11.5" style="75"/>
    <col min="778" max="779" width="1" style="75" customWidth="1"/>
    <col min="780" max="780" width="8.1640625" style="75" customWidth="1"/>
    <col min="781" max="784" width="7.5" style="75" customWidth="1"/>
    <col min="785" max="785" width="9.5" style="75" customWidth="1"/>
    <col min="786" max="786" width="10.1640625" style="75" customWidth="1"/>
    <col min="787" max="787" width="8.5" style="75" customWidth="1"/>
    <col min="788" max="788" width="1.5" style="75" customWidth="1"/>
    <col min="789" max="796" width="8.1640625" style="75" customWidth="1"/>
    <col min="797" max="797" width="1" style="75" customWidth="1"/>
    <col min="798" max="1033" width="11.5" style="75"/>
    <col min="1034" max="1035" width="1" style="75" customWidth="1"/>
    <col min="1036" max="1036" width="8.1640625" style="75" customWidth="1"/>
    <col min="1037" max="1040" width="7.5" style="75" customWidth="1"/>
    <col min="1041" max="1041" width="9.5" style="75" customWidth="1"/>
    <col min="1042" max="1042" width="10.1640625" style="75" customWidth="1"/>
    <col min="1043" max="1043" width="8.5" style="75" customWidth="1"/>
    <col min="1044" max="1044" width="1.5" style="75" customWidth="1"/>
    <col min="1045" max="1052" width="8.1640625" style="75" customWidth="1"/>
    <col min="1053" max="1053" width="1" style="75" customWidth="1"/>
    <col min="1054" max="1289" width="11.5" style="75"/>
    <col min="1290" max="1291" width="1" style="75" customWidth="1"/>
    <col min="1292" max="1292" width="8.1640625" style="75" customWidth="1"/>
    <col min="1293" max="1296" width="7.5" style="75" customWidth="1"/>
    <col min="1297" max="1297" width="9.5" style="75" customWidth="1"/>
    <col min="1298" max="1298" width="10.1640625" style="75" customWidth="1"/>
    <col min="1299" max="1299" width="8.5" style="75" customWidth="1"/>
    <col min="1300" max="1300" width="1.5" style="75" customWidth="1"/>
    <col min="1301" max="1308" width="8.1640625" style="75" customWidth="1"/>
    <col min="1309" max="1309" width="1" style="75" customWidth="1"/>
    <col min="1310" max="1545" width="11.5" style="75"/>
    <col min="1546" max="1547" width="1" style="75" customWidth="1"/>
    <col min="1548" max="1548" width="8.1640625" style="75" customWidth="1"/>
    <col min="1549" max="1552" width="7.5" style="75" customWidth="1"/>
    <col min="1553" max="1553" width="9.5" style="75" customWidth="1"/>
    <col min="1554" max="1554" width="10.1640625" style="75" customWidth="1"/>
    <col min="1555" max="1555" width="8.5" style="75" customWidth="1"/>
    <col min="1556" max="1556" width="1.5" style="75" customWidth="1"/>
    <col min="1557" max="1564" width="8.1640625" style="75" customWidth="1"/>
    <col min="1565" max="1565" width="1" style="75" customWidth="1"/>
    <col min="1566" max="1801" width="11.5" style="75"/>
    <col min="1802" max="1803" width="1" style="75" customWidth="1"/>
    <col min="1804" max="1804" width="8.1640625" style="75" customWidth="1"/>
    <col min="1805" max="1808" width="7.5" style="75" customWidth="1"/>
    <col min="1809" max="1809" width="9.5" style="75" customWidth="1"/>
    <col min="1810" max="1810" width="10.1640625" style="75" customWidth="1"/>
    <col min="1811" max="1811" width="8.5" style="75" customWidth="1"/>
    <col min="1812" max="1812" width="1.5" style="75" customWidth="1"/>
    <col min="1813" max="1820" width="8.1640625" style="75" customWidth="1"/>
    <col min="1821" max="1821" width="1" style="75" customWidth="1"/>
    <col min="1822" max="2057" width="11.5" style="75"/>
    <col min="2058" max="2059" width="1" style="75" customWidth="1"/>
    <col min="2060" max="2060" width="8.1640625" style="75" customWidth="1"/>
    <col min="2061" max="2064" width="7.5" style="75" customWidth="1"/>
    <col min="2065" max="2065" width="9.5" style="75" customWidth="1"/>
    <col min="2066" max="2066" width="10.1640625" style="75" customWidth="1"/>
    <col min="2067" max="2067" width="8.5" style="75" customWidth="1"/>
    <col min="2068" max="2068" width="1.5" style="75" customWidth="1"/>
    <col min="2069" max="2076" width="8.1640625" style="75" customWidth="1"/>
    <col min="2077" max="2077" width="1" style="75" customWidth="1"/>
    <col min="2078" max="2313" width="11.5" style="75"/>
    <col min="2314" max="2315" width="1" style="75" customWidth="1"/>
    <col min="2316" max="2316" width="8.1640625" style="75" customWidth="1"/>
    <col min="2317" max="2320" width="7.5" style="75" customWidth="1"/>
    <col min="2321" max="2321" width="9.5" style="75" customWidth="1"/>
    <col min="2322" max="2322" width="10.1640625" style="75" customWidth="1"/>
    <col min="2323" max="2323" width="8.5" style="75" customWidth="1"/>
    <col min="2324" max="2324" width="1.5" style="75" customWidth="1"/>
    <col min="2325" max="2332" width="8.1640625" style="75" customWidth="1"/>
    <col min="2333" max="2333" width="1" style="75" customWidth="1"/>
    <col min="2334" max="2569" width="11.5" style="75"/>
    <col min="2570" max="2571" width="1" style="75" customWidth="1"/>
    <col min="2572" max="2572" width="8.1640625" style="75" customWidth="1"/>
    <col min="2573" max="2576" width="7.5" style="75" customWidth="1"/>
    <col min="2577" max="2577" width="9.5" style="75" customWidth="1"/>
    <col min="2578" max="2578" width="10.1640625" style="75" customWidth="1"/>
    <col min="2579" max="2579" width="8.5" style="75" customWidth="1"/>
    <col min="2580" max="2580" width="1.5" style="75" customWidth="1"/>
    <col min="2581" max="2588" width="8.1640625" style="75" customWidth="1"/>
    <col min="2589" max="2589" width="1" style="75" customWidth="1"/>
    <col min="2590" max="2825" width="11.5" style="75"/>
    <col min="2826" max="2827" width="1" style="75" customWidth="1"/>
    <col min="2828" max="2828" width="8.1640625" style="75" customWidth="1"/>
    <col min="2829" max="2832" width="7.5" style="75" customWidth="1"/>
    <col min="2833" max="2833" width="9.5" style="75" customWidth="1"/>
    <col min="2834" max="2834" width="10.1640625" style="75" customWidth="1"/>
    <col min="2835" max="2835" width="8.5" style="75" customWidth="1"/>
    <col min="2836" max="2836" width="1.5" style="75" customWidth="1"/>
    <col min="2837" max="2844" width="8.1640625" style="75" customWidth="1"/>
    <col min="2845" max="2845" width="1" style="75" customWidth="1"/>
    <col min="2846" max="3081" width="11.5" style="75"/>
    <col min="3082" max="3083" width="1" style="75" customWidth="1"/>
    <col min="3084" max="3084" width="8.1640625" style="75" customWidth="1"/>
    <col min="3085" max="3088" width="7.5" style="75" customWidth="1"/>
    <col min="3089" max="3089" width="9.5" style="75" customWidth="1"/>
    <col min="3090" max="3090" width="10.1640625" style="75" customWidth="1"/>
    <col min="3091" max="3091" width="8.5" style="75" customWidth="1"/>
    <col min="3092" max="3092" width="1.5" style="75" customWidth="1"/>
    <col min="3093" max="3100" width="8.1640625" style="75" customWidth="1"/>
    <col min="3101" max="3101" width="1" style="75" customWidth="1"/>
    <col min="3102" max="3337" width="11.5" style="75"/>
    <col min="3338" max="3339" width="1" style="75" customWidth="1"/>
    <col min="3340" max="3340" width="8.1640625" style="75" customWidth="1"/>
    <col min="3341" max="3344" width="7.5" style="75" customWidth="1"/>
    <col min="3345" max="3345" width="9.5" style="75" customWidth="1"/>
    <col min="3346" max="3346" width="10.1640625" style="75" customWidth="1"/>
    <col min="3347" max="3347" width="8.5" style="75" customWidth="1"/>
    <col min="3348" max="3348" width="1.5" style="75" customWidth="1"/>
    <col min="3349" max="3356" width="8.1640625" style="75" customWidth="1"/>
    <col min="3357" max="3357" width="1" style="75" customWidth="1"/>
    <col min="3358" max="3593" width="11.5" style="75"/>
    <col min="3594" max="3595" width="1" style="75" customWidth="1"/>
    <col min="3596" max="3596" width="8.1640625" style="75" customWidth="1"/>
    <col min="3597" max="3600" width="7.5" style="75" customWidth="1"/>
    <col min="3601" max="3601" width="9.5" style="75" customWidth="1"/>
    <col min="3602" max="3602" width="10.1640625" style="75" customWidth="1"/>
    <col min="3603" max="3603" width="8.5" style="75" customWidth="1"/>
    <col min="3604" max="3604" width="1.5" style="75" customWidth="1"/>
    <col min="3605" max="3612" width="8.1640625" style="75" customWidth="1"/>
    <col min="3613" max="3613" width="1" style="75" customWidth="1"/>
    <col min="3614" max="3849" width="11.5" style="75"/>
    <col min="3850" max="3851" width="1" style="75" customWidth="1"/>
    <col min="3852" max="3852" width="8.1640625" style="75" customWidth="1"/>
    <col min="3853" max="3856" width="7.5" style="75" customWidth="1"/>
    <col min="3857" max="3857" width="9.5" style="75" customWidth="1"/>
    <col min="3858" max="3858" width="10.1640625" style="75" customWidth="1"/>
    <col min="3859" max="3859" width="8.5" style="75" customWidth="1"/>
    <col min="3860" max="3860" width="1.5" style="75" customWidth="1"/>
    <col min="3861" max="3868" width="8.1640625" style="75" customWidth="1"/>
    <col min="3869" max="3869" width="1" style="75" customWidth="1"/>
    <col min="3870" max="4105" width="11.5" style="75"/>
    <col min="4106" max="4107" width="1" style="75" customWidth="1"/>
    <col min="4108" max="4108" width="8.1640625" style="75" customWidth="1"/>
    <col min="4109" max="4112" width="7.5" style="75" customWidth="1"/>
    <col min="4113" max="4113" width="9.5" style="75" customWidth="1"/>
    <col min="4114" max="4114" width="10.1640625" style="75" customWidth="1"/>
    <col min="4115" max="4115" width="8.5" style="75" customWidth="1"/>
    <col min="4116" max="4116" width="1.5" style="75" customWidth="1"/>
    <col min="4117" max="4124" width="8.1640625" style="75" customWidth="1"/>
    <col min="4125" max="4125" width="1" style="75" customWidth="1"/>
    <col min="4126" max="4361" width="11.5" style="75"/>
    <col min="4362" max="4363" width="1" style="75" customWidth="1"/>
    <col min="4364" max="4364" width="8.1640625" style="75" customWidth="1"/>
    <col min="4365" max="4368" width="7.5" style="75" customWidth="1"/>
    <col min="4369" max="4369" width="9.5" style="75" customWidth="1"/>
    <col min="4370" max="4370" width="10.1640625" style="75" customWidth="1"/>
    <col min="4371" max="4371" width="8.5" style="75" customWidth="1"/>
    <col min="4372" max="4372" width="1.5" style="75" customWidth="1"/>
    <col min="4373" max="4380" width="8.1640625" style="75" customWidth="1"/>
    <col min="4381" max="4381" width="1" style="75" customWidth="1"/>
    <col min="4382" max="4617" width="11.5" style="75"/>
    <col min="4618" max="4619" width="1" style="75" customWidth="1"/>
    <col min="4620" max="4620" width="8.1640625" style="75" customWidth="1"/>
    <col min="4621" max="4624" width="7.5" style="75" customWidth="1"/>
    <col min="4625" max="4625" width="9.5" style="75" customWidth="1"/>
    <col min="4626" max="4626" width="10.1640625" style="75" customWidth="1"/>
    <col min="4627" max="4627" width="8.5" style="75" customWidth="1"/>
    <col min="4628" max="4628" width="1.5" style="75" customWidth="1"/>
    <col min="4629" max="4636" width="8.1640625" style="75" customWidth="1"/>
    <col min="4637" max="4637" width="1" style="75" customWidth="1"/>
    <col min="4638" max="4873" width="11.5" style="75"/>
    <col min="4874" max="4875" width="1" style="75" customWidth="1"/>
    <col min="4876" max="4876" width="8.1640625" style="75" customWidth="1"/>
    <col min="4877" max="4880" width="7.5" style="75" customWidth="1"/>
    <col min="4881" max="4881" width="9.5" style="75" customWidth="1"/>
    <col min="4882" max="4882" width="10.1640625" style="75" customWidth="1"/>
    <col min="4883" max="4883" width="8.5" style="75" customWidth="1"/>
    <col min="4884" max="4884" width="1.5" style="75" customWidth="1"/>
    <col min="4885" max="4892" width="8.1640625" style="75" customWidth="1"/>
    <col min="4893" max="4893" width="1" style="75" customWidth="1"/>
    <col min="4894" max="5129" width="11.5" style="75"/>
    <col min="5130" max="5131" width="1" style="75" customWidth="1"/>
    <col min="5132" max="5132" width="8.1640625" style="75" customWidth="1"/>
    <col min="5133" max="5136" width="7.5" style="75" customWidth="1"/>
    <col min="5137" max="5137" width="9.5" style="75" customWidth="1"/>
    <col min="5138" max="5138" width="10.1640625" style="75" customWidth="1"/>
    <col min="5139" max="5139" width="8.5" style="75" customWidth="1"/>
    <col min="5140" max="5140" width="1.5" style="75" customWidth="1"/>
    <col min="5141" max="5148" width="8.1640625" style="75" customWidth="1"/>
    <col min="5149" max="5149" width="1" style="75" customWidth="1"/>
    <col min="5150" max="5385" width="11.5" style="75"/>
    <col min="5386" max="5387" width="1" style="75" customWidth="1"/>
    <col min="5388" max="5388" width="8.1640625" style="75" customWidth="1"/>
    <col min="5389" max="5392" width="7.5" style="75" customWidth="1"/>
    <col min="5393" max="5393" width="9.5" style="75" customWidth="1"/>
    <col min="5394" max="5394" width="10.1640625" style="75" customWidth="1"/>
    <col min="5395" max="5395" width="8.5" style="75" customWidth="1"/>
    <col min="5396" max="5396" width="1.5" style="75" customWidth="1"/>
    <col min="5397" max="5404" width="8.1640625" style="75" customWidth="1"/>
    <col min="5405" max="5405" width="1" style="75" customWidth="1"/>
    <col min="5406" max="5641" width="11.5" style="75"/>
    <col min="5642" max="5643" width="1" style="75" customWidth="1"/>
    <col min="5644" max="5644" width="8.1640625" style="75" customWidth="1"/>
    <col min="5645" max="5648" width="7.5" style="75" customWidth="1"/>
    <col min="5649" max="5649" width="9.5" style="75" customWidth="1"/>
    <col min="5650" max="5650" width="10.1640625" style="75" customWidth="1"/>
    <col min="5651" max="5651" width="8.5" style="75" customWidth="1"/>
    <col min="5652" max="5652" width="1.5" style="75" customWidth="1"/>
    <col min="5653" max="5660" width="8.1640625" style="75" customWidth="1"/>
    <col min="5661" max="5661" width="1" style="75" customWidth="1"/>
    <col min="5662" max="5897" width="11.5" style="75"/>
    <col min="5898" max="5899" width="1" style="75" customWidth="1"/>
    <col min="5900" max="5900" width="8.1640625" style="75" customWidth="1"/>
    <col min="5901" max="5904" width="7.5" style="75" customWidth="1"/>
    <col min="5905" max="5905" width="9.5" style="75" customWidth="1"/>
    <col min="5906" max="5906" width="10.1640625" style="75" customWidth="1"/>
    <col min="5907" max="5907" width="8.5" style="75" customWidth="1"/>
    <col min="5908" max="5908" width="1.5" style="75" customWidth="1"/>
    <col min="5909" max="5916" width="8.1640625" style="75" customWidth="1"/>
    <col min="5917" max="5917" width="1" style="75" customWidth="1"/>
    <col min="5918" max="6153" width="11.5" style="75"/>
    <col min="6154" max="6155" width="1" style="75" customWidth="1"/>
    <col min="6156" max="6156" width="8.1640625" style="75" customWidth="1"/>
    <col min="6157" max="6160" width="7.5" style="75" customWidth="1"/>
    <col min="6161" max="6161" width="9.5" style="75" customWidth="1"/>
    <col min="6162" max="6162" width="10.1640625" style="75" customWidth="1"/>
    <col min="6163" max="6163" width="8.5" style="75" customWidth="1"/>
    <col min="6164" max="6164" width="1.5" style="75" customWidth="1"/>
    <col min="6165" max="6172" width="8.1640625" style="75" customWidth="1"/>
    <col min="6173" max="6173" width="1" style="75" customWidth="1"/>
    <col min="6174" max="6409" width="11.5" style="75"/>
    <col min="6410" max="6411" width="1" style="75" customWidth="1"/>
    <col min="6412" max="6412" width="8.1640625" style="75" customWidth="1"/>
    <col min="6413" max="6416" width="7.5" style="75" customWidth="1"/>
    <col min="6417" max="6417" width="9.5" style="75" customWidth="1"/>
    <col min="6418" max="6418" width="10.1640625" style="75" customWidth="1"/>
    <col min="6419" max="6419" width="8.5" style="75" customWidth="1"/>
    <col min="6420" max="6420" width="1.5" style="75" customWidth="1"/>
    <col min="6421" max="6428" width="8.1640625" style="75" customWidth="1"/>
    <col min="6429" max="6429" width="1" style="75" customWidth="1"/>
    <col min="6430" max="6665" width="11.5" style="75"/>
    <col min="6666" max="6667" width="1" style="75" customWidth="1"/>
    <col min="6668" max="6668" width="8.1640625" style="75" customWidth="1"/>
    <col min="6669" max="6672" width="7.5" style="75" customWidth="1"/>
    <col min="6673" max="6673" width="9.5" style="75" customWidth="1"/>
    <col min="6674" max="6674" width="10.1640625" style="75" customWidth="1"/>
    <col min="6675" max="6675" width="8.5" style="75" customWidth="1"/>
    <col min="6676" max="6676" width="1.5" style="75" customWidth="1"/>
    <col min="6677" max="6684" width="8.1640625" style="75" customWidth="1"/>
    <col min="6685" max="6685" width="1" style="75" customWidth="1"/>
    <col min="6686" max="6921" width="11.5" style="75"/>
    <col min="6922" max="6923" width="1" style="75" customWidth="1"/>
    <col min="6924" max="6924" width="8.1640625" style="75" customWidth="1"/>
    <col min="6925" max="6928" width="7.5" style="75" customWidth="1"/>
    <col min="6929" max="6929" width="9.5" style="75" customWidth="1"/>
    <col min="6930" max="6930" width="10.1640625" style="75" customWidth="1"/>
    <col min="6931" max="6931" width="8.5" style="75" customWidth="1"/>
    <col min="6932" max="6932" width="1.5" style="75" customWidth="1"/>
    <col min="6933" max="6940" width="8.1640625" style="75" customWidth="1"/>
    <col min="6941" max="6941" width="1" style="75" customWidth="1"/>
    <col min="6942" max="7177" width="11.5" style="75"/>
    <col min="7178" max="7179" width="1" style="75" customWidth="1"/>
    <col min="7180" max="7180" width="8.1640625" style="75" customWidth="1"/>
    <col min="7181" max="7184" width="7.5" style="75" customWidth="1"/>
    <col min="7185" max="7185" width="9.5" style="75" customWidth="1"/>
    <col min="7186" max="7186" width="10.1640625" style="75" customWidth="1"/>
    <col min="7187" max="7187" width="8.5" style="75" customWidth="1"/>
    <col min="7188" max="7188" width="1.5" style="75" customWidth="1"/>
    <col min="7189" max="7196" width="8.1640625" style="75" customWidth="1"/>
    <col min="7197" max="7197" width="1" style="75" customWidth="1"/>
    <col min="7198" max="7433" width="11.5" style="75"/>
    <col min="7434" max="7435" width="1" style="75" customWidth="1"/>
    <col min="7436" max="7436" width="8.1640625" style="75" customWidth="1"/>
    <col min="7437" max="7440" width="7.5" style="75" customWidth="1"/>
    <col min="7441" max="7441" width="9.5" style="75" customWidth="1"/>
    <col min="7442" max="7442" width="10.1640625" style="75" customWidth="1"/>
    <col min="7443" max="7443" width="8.5" style="75" customWidth="1"/>
    <col min="7444" max="7444" width="1.5" style="75" customWidth="1"/>
    <col min="7445" max="7452" width="8.1640625" style="75" customWidth="1"/>
    <col min="7453" max="7453" width="1" style="75" customWidth="1"/>
    <col min="7454" max="7689" width="11.5" style="75"/>
    <col min="7690" max="7691" width="1" style="75" customWidth="1"/>
    <col min="7692" max="7692" width="8.1640625" style="75" customWidth="1"/>
    <col min="7693" max="7696" width="7.5" style="75" customWidth="1"/>
    <col min="7697" max="7697" width="9.5" style="75" customWidth="1"/>
    <col min="7698" max="7698" width="10.1640625" style="75" customWidth="1"/>
    <col min="7699" max="7699" width="8.5" style="75" customWidth="1"/>
    <col min="7700" max="7700" width="1.5" style="75" customWidth="1"/>
    <col min="7701" max="7708" width="8.1640625" style="75" customWidth="1"/>
    <col min="7709" max="7709" width="1" style="75" customWidth="1"/>
    <col min="7710" max="7945" width="11.5" style="75"/>
    <col min="7946" max="7947" width="1" style="75" customWidth="1"/>
    <col min="7948" max="7948" width="8.1640625" style="75" customWidth="1"/>
    <col min="7949" max="7952" width="7.5" style="75" customWidth="1"/>
    <col min="7953" max="7953" width="9.5" style="75" customWidth="1"/>
    <col min="7954" max="7954" width="10.1640625" style="75" customWidth="1"/>
    <col min="7955" max="7955" width="8.5" style="75" customWidth="1"/>
    <col min="7956" max="7956" width="1.5" style="75" customWidth="1"/>
    <col min="7957" max="7964" width="8.1640625" style="75" customWidth="1"/>
    <col min="7965" max="7965" width="1" style="75" customWidth="1"/>
    <col min="7966" max="8201" width="11.5" style="75"/>
    <col min="8202" max="8203" width="1" style="75" customWidth="1"/>
    <col min="8204" max="8204" width="8.1640625" style="75" customWidth="1"/>
    <col min="8205" max="8208" width="7.5" style="75" customWidth="1"/>
    <col min="8209" max="8209" width="9.5" style="75" customWidth="1"/>
    <col min="8210" max="8210" width="10.1640625" style="75" customWidth="1"/>
    <col min="8211" max="8211" width="8.5" style="75" customWidth="1"/>
    <col min="8212" max="8212" width="1.5" style="75" customWidth="1"/>
    <col min="8213" max="8220" width="8.1640625" style="75" customWidth="1"/>
    <col min="8221" max="8221" width="1" style="75" customWidth="1"/>
    <col min="8222" max="8457" width="11.5" style="75"/>
    <col min="8458" max="8459" width="1" style="75" customWidth="1"/>
    <col min="8460" max="8460" width="8.1640625" style="75" customWidth="1"/>
    <col min="8461" max="8464" width="7.5" style="75" customWidth="1"/>
    <col min="8465" max="8465" width="9.5" style="75" customWidth="1"/>
    <col min="8466" max="8466" width="10.1640625" style="75" customWidth="1"/>
    <col min="8467" max="8467" width="8.5" style="75" customWidth="1"/>
    <col min="8468" max="8468" width="1.5" style="75" customWidth="1"/>
    <col min="8469" max="8476" width="8.1640625" style="75" customWidth="1"/>
    <col min="8477" max="8477" width="1" style="75" customWidth="1"/>
    <col min="8478" max="8713" width="11.5" style="75"/>
    <col min="8714" max="8715" width="1" style="75" customWidth="1"/>
    <col min="8716" max="8716" width="8.1640625" style="75" customWidth="1"/>
    <col min="8717" max="8720" width="7.5" style="75" customWidth="1"/>
    <col min="8721" max="8721" width="9.5" style="75" customWidth="1"/>
    <col min="8722" max="8722" width="10.1640625" style="75" customWidth="1"/>
    <col min="8723" max="8723" width="8.5" style="75" customWidth="1"/>
    <col min="8724" max="8724" width="1.5" style="75" customWidth="1"/>
    <col min="8725" max="8732" width="8.1640625" style="75" customWidth="1"/>
    <col min="8733" max="8733" width="1" style="75" customWidth="1"/>
    <col min="8734" max="8969" width="11.5" style="75"/>
    <col min="8970" max="8971" width="1" style="75" customWidth="1"/>
    <col min="8972" max="8972" width="8.1640625" style="75" customWidth="1"/>
    <col min="8973" max="8976" width="7.5" style="75" customWidth="1"/>
    <col min="8977" max="8977" width="9.5" style="75" customWidth="1"/>
    <col min="8978" max="8978" width="10.1640625" style="75" customWidth="1"/>
    <col min="8979" max="8979" width="8.5" style="75" customWidth="1"/>
    <col min="8980" max="8980" width="1.5" style="75" customWidth="1"/>
    <col min="8981" max="8988" width="8.1640625" style="75" customWidth="1"/>
    <col min="8989" max="8989" width="1" style="75" customWidth="1"/>
    <col min="8990" max="9225" width="11.5" style="75"/>
    <col min="9226" max="9227" width="1" style="75" customWidth="1"/>
    <col min="9228" max="9228" width="8.1640625" style="75" customWidth="1"/>
    <col min="9229" max="9232" width="7.5" style="75" customWidth="1"/>
    <col min="9233" max="9233" width="9.5" style="75" customWidth="1"/>
    <col min="9234" max="9234" width="10.1640625" style="75" customWidth="1"/>
    <col min="9235" max="9235" width="8.5" style="75" customWidth="1"/>
    <col min="9236" max="9236" width="1.5" style="75" customWidth="1"/>
    <col min="9237" max="9244" width="8.1640625" style="75" customWidth="1"/>
    <col min="9245" max="9245" width="1" style="75" customWidth="1"/>
    <col min="9246" max="9481" width="11.5" style="75"/>
    <col min="9482" max="9483" width="1" style="75" customWidth="1"/>
    <col min="9484" max="9484" width="8.1640625" style="75" customWidth="1"/>
    <col min="9485" max="9488" width="7.5" style="75" customWidth="1"/>
    <col min="9489" max="9489" width="9.5" style="75" customWidth="1"/>
    <col min="9490" max="9490" width="10.1640625" style="75" customWidth="1"/>
    <col min="9491" max="9491" width="8.5" style="75" customWidth="1"/>
    <col min="9492" max="9492" width="1.5" style="75" customWidth="1"/>
    <col min="9493" max="9500" width="8.1640625" style="75" customWidth="1"/>
    <col min="9501" max="9501" width="1" style="75" customWidth="1"/>
    <col min="9502" max="9737" width="11.5" style="75"/>
    <col min="9738" max="9739" width="1" style="75" customWidth="1"/>
    <col min="9740" max="9740" width="8.1640625" style="75" customWidth="1"/>
    <col min="9741" max="9744" width="7.5" style="75" customWidth="1"/>
    <col min="9745" max="9745" width="9.5" style="75" customWidth="1"/>
    <col min="9746" max="9746" width="10.1640625" style="75" customWidth="1"/>
    <col min="9747" max="9747" width="8.5" style="75" customWidth="1"/>
    <col min="9748" max="9748" width="1.5" style="75" customWidth="1"/>
    <col min="9749" max="9756" width="8.1640625" style="75" customWidth="1"/>
    <col min="9757" max="9757" width="1" style="75" customWidth="1"/>
    <col min="9758" max="9993" width="11.5" style="75"/>
    <col min="9994" max="9995" width="1" style="75" customWidth="1"/>
    <col min="9996" max="9996" width="8.1640625" style="75" customWidth="1"/>
    <col min="9997" max="10000" width="7.5" style="75" customWidth="1"/>
    <col min="10001" max="10001" width="9.5" style="75" customWidth="1"/>
    <col min="10002" max="10002" width="10.1640625" style="75" customWidth="1"/>
    <col min="10003" max="10003" width="8.5" style="75" customWidth="1"/>
    <col min="10004" max="10004" width="1.5" style="75" customWidth="1"/>
    <col min="10005" max="10012" width="8.1640625" style="75" customWidth="1"/>
    <col min="10013" max="10013" width="1" style="75" customWidth="1"/>
    <col min="10014" max="10249" width="11.5" style="75"/>
    <col min="10250" max="10251" width="1" style="75" customWidth="1"/>
    <col min="10252" max="10252" width="8.1640625" style="75" customWidth="1"/>
    <col min="10253" max="10256" width="7.5" style="75" customWidth="1"/>
    <col min="10257" max="10257" width="9.5" style="75" customWidth="1"/>
    <col min="10258" max="10258" width="10.1640625" style="75" customWidth="1"/>
    <col min="10259" max="10259" width="8.5" style="75" customWidth="1"/>
    <col min="10260" max="10260" width="1.5" style="75" customWidth="1"/>
    <col min="10261" max="10268" width="8.1640625" style="75" customWidth="1"/>
    <col min="10269" max="10269" width="1" style="75" customWidth="1"/>
    <col min="10270" max="10505" width="11.5" style="75"/>
    <col min="10506" max="10507" width="1" style="75" customWidth="1"/>
    <col min="10508" max="10508" width="8.1640625" style="75" customWidth="1"/>
    <col min="10509" max="10512" width="7.5" style="75" customWidth="1"/>
    <col min="10513" max="10513" width="9.5" style="75" customWidth="1"/>
    <col min="10514" max="10514" width="10.1640625" style="75" customWidth="1"/>
    <col min="10515" max="10515" width="8.5" style="75" customWidth="1"/>
    <col min="10516" max="10516" width="1.5" style="75" customWidth="1"/>
    <col min="10517" max="10524" width="8.1640625" style="75" customWidth="1"/>
    <col min="10525" max="10525" width="1" style="75" customWidth="1"/>
    <col min="10526" max="10761" width="11.5" style="75"/>
    <col min="10762" max="10763" width="1" style="75" customWidth="1"/>
    <col min="10764" max="10764" width="8.1640625" style="75" customWidth="1"/>
    <col min="10765" max="10768" width="7.5" style="75" customWidth="1"/>
    <col min="10769" max="10769" width="9.5" style="75" customWidth="1"/>
    <col min="10770" max="10770" width="10.1640625" style="75" customWidth="1"/>
    <col min="10771" max="10771" width="8.5" style="75" customWidth="1"/>
    <col min="10772" max="10772" width="1.5" style="75" customWidth="1"/>
    <col min="10773" max="10780" width="8.1640625" style="75" customWidth="1"/>
    <col min="10781" max="10781" width="1" style="75" customWidth="1"/>
    <col min="10782" max="11017" width="11.5" style="75"/>
    <col min="11018" max="11019" width="1" style="75" customWidth="1"/>
    <col min="11020" max="11020" width="8.1640625" style="75" customWidth="1"/>
    <col min="11021" max="11024" width="7.5" style="75" customWidth="1"/>
    <col min="11025" max="11025" width="9.5" style="75" customWidth="1"/>
    <col min="11026" max="11026" width="10.1640625" style="75" customWidth="1"/>
    <col min="11027" max="11027" width="8.5" style="75" customWidth="1"/>
    <col min="11028" max="11028" width="1.5" style="75" customWidth="1"/>
    <col min="11029" max="11036" width="8.1640625" style="75" customWidth="1"/>
    <col min="11037" max="11037" width="1" style="75" customWidth="1"/>
    <col min="11038" max="11273" width="11.5" style="75"/>
    <col min="11274" max="11275" width="1" style="75" customWidth="1"/>
    <col min="11276" max="11276" width="8.1640625" style="75" customWidth="1"/>
    <col min="11277" max="11280" width="7.5" style="75" customWidth="1"/>
    <col min="11281" max="11281" width="9.5" style="75" customWidth="1"/>
    <col min="11282" max="11282" width="10.1640625" style="75" customWidth="1"/>
    <col min="11283" max="11283" width="8.5" style="75" customWidth="1"/>
    <col min="11284" max="11284" width="1.5" style="75" customWidth="1"/>
    <col min="11285" max="11292" width="8.1640625" style="75" customWidth="1"/>
    <col min="11293" max="11293" width="1" style="75" customWidth="1"/>
    <col min="11294" max="11529" width="11.5" style="75"/>
    <col min="11530" max="11531" width="1" style="75" customWidth="1"/>
    <col min="11532" max="11532" width="8.1640625" style="75" customWidth="1"/>
    <col min="11533" max="11536" width="7.5" style="75" customWidth="1"/>
    <col min="11537" max="11537" width="9.5" style="75" customWidth="1"/>
    <col min="11538" max="11538" width="10.1640625" style="75" customWidth="1"/>
    <col min="11539" max="11539" width="8.5" style="75" customWidth="1"/>
    <col min="11540" max="11540" width="1.5" style="75" customWidth="1"/>
    <col min="11541" max="11548" width="8.1640625" style="75" customWidth="1"/>
    <col min="11549" max="11549" width="1" style="75" customWidth="1"/>
    <col min="11550" max="11785" width="11.5" style="75"/>
    <col min="11786" max="11787" width="1" style="75" customWidth="1"/>
    <col min="11788" max="11788" width="8.1640625" style="75" customWidth="1"/>
    <col min="11789" max="11792" width="7.5" style="75" customWidth="1"/>
    <col min="11793" max="11793" width="9.5" style="75" customWidth="1"/>
    <col min="11794" max="11794" width="10.1640625" style="75" customWidth="1"/>
    <col min="11795" max="11795" width="8.5" style="75" customWidth="1"/>
    <col min="11796" max="11796" width="1.5" style="75" customWidth="1"/>
    <col min="11797" max="11804" width="8.1640625" style="75" customWidth="1"/>
    <col min="11805" max="11805" width="1" style="75" customWidth="1"/>
    <col min="11806" max="12041" width="11.5" style="75"/>
    <col min="12042" max="12043" width="1" style="75" customWidth="1"/>
    <col min="12044" max="12044" width="8.1640625" style="75" customWidth="1"/>
    <col min="12045" max="12048" width="7.5" style="75" customWidth="1"/>
    <col min="12049" max="12049" width="9.5" style="75" customWidth="1"/>
    <col min="12050" max="12050" width="10.1640625" style="75" customWidth="1"/>
    <col min="12051" max="12051" width="8.5" style="75" customWidth="1"/>
    <col min="12052" max="12052" width="1.5" style="75" customWidth="1"/>
    <col min="12053" max="12060" width="8.1640625" style="75" customWidth="1"/>
    <col min="12061" max="12061" width="1" style="75" customWidth="1"/>
    <col min="12062" max="12297" width="11.5" style="75"/>
    <col min="12298" max="12299" width="1" style="75" customWidth="1"/>
    <col min="12300" max="12300" width="8.1640625" style="75" customWidth="1"/>
    <col min="12301" max="12304" width="7.5" style="75" customWidth="1"/>
    <col min="12305" max="12305" width="9.5" style="75" customWidth="1"/>
    <col min="12306" max="12306" width="10.1640625" style="75" customWidth="1"/>
    <col min="12307" max="12307" width="8.5" style="75" customWidth="1"/>
    <col min="12308" max="12308" width="1.5" style="75" customWidth="1"/>
    <col min="12309" max="12316" width="8.1640625" style="75" customWidth="1"/>
    <col min="12317" max="12317" width="1" style="75" customWidth="1"/>
    <col min="12318" max="12553" width="11.5" style="75"/>
    <col min="12554" max="12555" width="1" style="75" customWidth="1"/>
    <col min="12556" max="12556" width="8.1640625" style="75" customWidth="1"/>
    <col min="12557" max="12560" width="7.5" style="75" customWidth="1"/>
    <col min="12561" max="12561" width="9.5" style="75" customWidth="1"/>
    <col min="12562" max="12562" width="10.1640625" style="75" customWidth="1"/>
    <col min="12563" max="12563" width="8.5" style="75" customWidth="1"/>
    <col min="12564" max="12564" width="1.5" style="75" customWidth="1"/>
    <col min="12565" max="12572" width="8.1640625" style="75" customWidth="1"/>
    <col min="12573" max="12573" width="1" style="75" customWidth="1"/>
    <col min="12574" max="12809" width="11.5" style="75"/>
    <col min="12810" max="12811" width="1" style="75" customWidth="1"/>
    <col min="12812" max="12812" width="8.1640625" style="75" customWidth="1"/>
    <col min="12813" max="12816" width="7.5" style="75" customWidth="1"/>
    <col min="12817" max="12817" width="9.5" style="75" customWidth="1"/>
    <col min="12818" max="12818" width="10.1640625" style="75" customWidth="1"/>
    <col min="12819" max="12819" width="8.5" style="75" customWidth="1"/>
    <col min="12820" max="12820" width="1.5" style="75" customWidth="1"/>
    <col min="12821" max="12828" width="8.1640625" style="75" customWidth="1"/>
    <col min="12829" max="12829" width="1" style="75" customWidth="1"/>
    <col min="12830" max="13065" width="11.5" style="75"/>
    <col min="13066" max="13067" width="1" style="75" customWidth="1"/>
    <col min="13068" max="13068" width="8.1640625" style="75" customWidth="1"/>
    <col min="13069" max="13072" width="7.5" style="75" customWidth="1"/>
    <col min="13073" max="13073" width="9.5" style="75" customWidth="1"/>
    <col min="13074" max="13074" width="10.1640625" style="75" customWidth="1"/>
    <col min="13075" max="13075" width="8.5" style="75" customWidth="1"/>
    <col min="13076" max="13076" width="1.5" style="75" customWidth="1"/>
    <col min="13077" max="13084" width="8.1640625" style="75" customWidth="1"/>
    <col min="13085" max="13085" width="1" style="75" customWidth="1"/>
    <col min="13086" max="13321" width="11.5" style="75"/>
    <col min="13322" max="13323" width="1" style="75" customWidth="1"/>
    <col min="13324" max="13324" width="8.1640625" style="75" customWidth="1"/>
    <col min="13325" max="13328" width="7.5" style="75" customWidth="1"/>
    <col min="13329" max="13329" width="9.5" style="75" customWidth="1"/>
    <col min="13330" max="13330" width="10.1640625" style="75" customWidth="1"/>
    <col min="13331" max="13331" width="8.5" style="75" customWidth="1"/>
    <col min="13332" max="13332" width="1.5" style="75" customWidth="1"/>
    <col min="13333" max="13340" width="8.1640625" style="75" customWidth="1"/>
    <col min="13341" max="13341" width="1" style="75" customWidth="1"/>
    <col min="13342" max="13577" width="11.5" style="75"/>
    <col min="13578" max="13579" width="1" style="75" customWidth="1"/>
    <col min="13580" max="13580" width="8.1640625" style="75" customWidth="1"/>
    <col min="13581" max="13584" width="7.5" style="75" customWidth="1"/>
    <col min="13585" max="13585" width="9.5" style="75" customWidth="1"/>
    <col min="13586" max="13586" width="10.1640625" style="75" customWidth="1"/>
    <col min="13587" max="13587" width="8.5" style="75" customWidth="1"/>
    <col min="13588" max="13588" width="1.5" style="75" customWidth="1"/>
    <col min="13589" max="13596" width="8.1640625" style="75" customWidth="1"/>
    <col min="13597" max="13597" width="1" style="75" customWidth="1"/>
    <col min="13598" max="13833" width="11.5" style="75"/>
    <col min="13834" max="13835" width="1" style="75" customWidth="1"/>
    <col min="13836" max="13836" width="8.1640625" style="75" customWidth="1"/>
    <col min="13837" max="13840" width="7.5" style="75" customWidth="1"/>
    <col min="13841" max="13841" width="9.5" style="75" customWidth="1"/>
    <col min="13842" max="13842" width="10.1640625" style="75" customWidth="1"/>
    <col min="13843" max="13843" width="8.5" style="75" customWidth="1"/>
    <col min="13844" max="13844" width="1.5" style="75" customWidth="1"/>
    <col min="13845" max="13852" width="8.1640625" style="75" customWidth="1"/>
    <col min="13853" max="13853" width="1" style="75" customWidth="1"/>
    <col min="13854" max="14089" width="11.5" style="75"/>
    <col min="14090" max="14091" width="1" style="75" customWidth="1"/>
    <col min="14092" max="14092" width="8.1640625" style="75" customWidth="1"/>
    <col min="14093" max="14096" width="7.5" style="75" customWidth="1"/>
    <col min="14097" max="14097" width="9.5" style="75" customWidth="1"/>
    <col min="14098" max="14098" width="10.1640625" style="75" customWidth="1"/>
    <col min="14099" max="14099" width="8.5" style="75" customWidth="1"/>
    <col min="14100" max="14100" width="1.5" style="75" customWidth="1"/>
    <col min="14101" max="14108" width="8.1640625" style="75" customWidth="1"/>
    <col min="14109" max="14109" width="1" style="75" customWidth="1"/>
    <col min="14110" max="14345" width="11.5" style="75"/>
    <col min="14346" max="14347" width="1" style="75" customWidth="1"/>
    <col min="14348" max="14348" width="8.1640625" style="75" customWidth="1"/>
    <col min="14349" max="14352" width="7.5" style="75" customWidth="1"/>
    <col min="14353" max="14353" width="9.5" style="75" customWidth="1"/>
    <col min="14354" max="14354" width="10.1640625" style="75" customWidth="1"/>
    <col min="14355" max="14355" width="8.5" style="75" customWidth="1"/>
    <col min="14356" max="14356" width="1.5" style="75" customWidth="1"/>
    <col min="14357" max="14364" width="8.1640625" style="75" customWidth="1"/>
    <col min="14365" max="14365" width="1" style="75" customWidth="1"/>
    <col min="14366" max="14601" width="11.5" style="75"/>
    <col min="14602" max="14603" width="1" style="75" customWidth="1"/>
    <col min="14604" max="14604" width="8.1640625" style="75" customWidth="1"/>
    <col min="14605" max="14608" width="7.5" style="75" customWidth="1"/>
    <col min="14609" max="14609" width="9.5" style="75" customWidth="1"/>
    <col min="14610" max="14610" width="10.1640625" style="75" customWidth="1"/>
    <col min="14611" max="14611" width="8.5" style="75" customWidth="1"/>
    <col min="14612" max="14612" width="1.5" style="75" customWidth="1"/>
    <col min="14613" max="14620" width="8.1640625" style="75" customWidth="1"/>
    <col min="14621" max="14621" width="1" style="75" customWidth="1"/>
    <col min="14622" max="14857" width="11.5" style="75"/>
    <col min="14858" max="14859" width="1" style="75" customWidth="1"/>
    <col min="14860" max="14860" width="8.1640625" style="75" customWidth="1"/>
    <col min="14861" max="14864" width="7.5" style="75" customWidth="1"/>
    <col min="14865" max="14865" width="9.5" style="75" customWidth="1"/>
    <col min="14866" max="14866" width="10.1640625" style="75" customWidth="1"/>
    <col min="14867" max="14867" width="8.5" style="75" customWidth="1"/>
    <col min="14868" max="14868" width="1.5" style="75" customWidth="1"/>
    <col min="14869" max="14876" width="8.1640625" style="75" customWidth="1"/>
    <col min="14877" max="14877" width="1" style="75" customWidth="1"/>
    <col min="14878" max="15113" width="11.5" style="75"/>
    <col min="15114" max="15115" width="1" style="75" customWidth="1"/>
    <col min="15116" max="15116" width="8.1640625" style="75" customWidth="1"/>
    <col min="15117" max="15120" width="7.5" style="75" customWidth="1"/>
    <col min="15121" max="15121" width="9.5" style="75" customWidth="1"/>
    <col min="15122" max="15122" width="10.1640625" style="75" customWidth="1"/>
    <col min="15123" max="15123" width="8.5" style="75" customWidth="1"/>
    <col min="15124" max="15124" width="1.5" style="75" customWidth="1"/>
    <col min="15125" max="15132" width="8.1640625" style="75" customWidth="1"/>
    <col min="15133" max="15133" width="1" style="75" customWidth="1"/>
    <col min="15134" max="15369" width="11.5" style="75"/>
    <col min="15370" max="15371" width="1" style="75" customWidth="1"/>
    <col min="15372" max="15372" width="8.1640625" style="75" customWidth="1"/>
    <col min="15373" max="15376" width="7.5" style="75" customWidth="1"/>
    <col min="15377" max="15377" width="9.5" style="75" customWidth="1"/>
    <col min="15378" max="15378" width="10.1640625" style="75" customWidth="1"/>
    <col min="15379" max="15379" width="8.5" style="75" customWidth="1"/>
    <col min="15380" max="15380" width="1.5" style="75" customWidth="1"/>
    <col min="15381" max="15388" width="8.1640625" style="75" customWidth="1"/>
    <col min="15389" max="15389" width="1" style="75" customWidth="1"/>
    <col min="15390" max="15625" width="11.5" style="75"/>
    <col min="15626" max="15627" width="1" style="75" customWidth="1"/>
    <col min="15628" max="15628" width="8.1640625" style="75" customWidth="1"/>
    <col min="15629" max="15632" width="7.5" style="75" customWidth="1"/>
    <col min="15633" max="15633" width="9.5" style="75" customWidth="1"/>
    <col min="15634" max="15634" width="10.1640625" style="75" customWidth="1"/>
    <col min="15635" max="15635" width="8.5" style="75" customWidth="1"/>
    <col min="15636" max="15636" width="1.5" style="75" customWidth="1"/>
    <col min="15637" max="15644" width="8.1640625" style="75" customWidth="1"/>
    <col min="15645" max="15645" width="1" style="75" customWidth="1"/>
    <col min="15646" max="15881" width="11.5" style="75"/>
    <col min="15882" max="15883" width="1" style="75" customWidth="1"/>
    <col min="15884" max="15884" width="8.1640625" style="75" customWidth="1"/>
    <col min="15885" max="15888" width="7.5" style="75" customWidth="1"/>
    <col min="15889" max="15889" width="9.5" style="75" customWidth="1"/>
    <col min="15890" max="15890" width="10.1640625" style="75" customWidth="1"/>
    <col min="15891" max="15891" width="8.5" style="75" customWidth="1"/>
    <col min="15892" max="15892" width="1.5" style="75" customWidth="1"/>
    <col min="15893" max="15900" width="8.1640625" style="75" customWidth="1"/>
    <col min="15901" max="15901" width="1" style="75" customWidth="1"/>
    <col min="15902" max="16137" width="11.5" style="75"/>
    <col min="16138" max="16139" width="1" style="75" customWidth="1"/>
    <col min="16140" max="16140" width="8.1640625" style="75" customWidth="1"/>
    <col min="16141" max="16144" width="7.5" style="75" customWidth="1"/>
    <col min="16145" max="16145" width="9.5" style="75" customWidth="1"/>
    <col min="16146" max="16146" width="10.1640625" style="75" customWidth="1"/>
    <col min="16147" max="16147" width="8.5" style="75" customWidth="1"/>
    <col min="16148" max="16148" width="1.5" style="75" customWidth="1"/>
    <col min="16149" max="16156" width="8.1640625" style="75" customWidth="1"/>
    <col min="16157" max="16157" width="1" style="75" customWidth="1"/>
    <col min="16158" max="16384" width="11.5" style="75"/>
  </cols>
  <sheetData>
    <row r="1" spans="2:28" ht="6.25" customHeight="1"/>
    <row r="2" spans="2:28" ht="6.25" customHeight="1" thickBot="1"/>
    <row r="3" spans="2:28" ht="25.5" customHeight="1" thickTop="1">
      <c r="B3" s="141"/>
      <c r="C3" s="142" t="s">
        <v>151</v>
      </c>
      <c r="D3" s="143"/>
      <c r="E3" s="1555" t="s">
        <v>180</v>
      </c>
      <c r="F3" s="1555"/>
      <c r="G3" s="1555"/>
      <c r="H3" s="1555"/>
      <c r="I3" s="1555"/>
      <c r="J3" s="1555"/>
      <c r="K3" s="1555"/>
      <c r="L3" s="1555"/>
      <c r="M3" s="1555"/>
      <c r="N3" s="1555"/>
      <c r="O3" s="1555"/>
      <c r="P3" s="1555"/>
      <c r="Q3" s="1555"/>
      <c r="R3" s="1555"/>
      <c r="S3" s="1555"/>
      <c r="T3" s="1555"/>
      <c r="U3" s="1555"/>
      <c r="V3" s="1555"/>
      <c r="W3" s="1555"/>
      <c r="X3" s="1555"/>
      <c r="Y3" s="1555"/>
      <c r="Z3" s="1555"/>
      <c r="AA3" s="1555"/>
      <c r="AB3" s="144"/>
    </row>
    <row r="4" spans="2:28" ht="14.5" customHeight="1">
      <c r="B4" s="145"/>
      <c r="C4" s="146" t="s">
        <v>869</v>
      </c>
      <c r="AB4" s="147"/>
    </row>
    <row r="5" spans="2:28" ht="14.5" customHeight="1">
      <c r="B5" s="145"/>
      <c r="C5" s="146"/>
      <c r="AB5" s="147"/>
    </row>
    <row r="6" spans="2:28" ht="14.5" customHeight="1">
      <c r="B6" s="145"/>
      <c r="C6" s="140">
        <v>1.1499999999999999</v>
      </c>
      <c r="D6" s="148" t="s">
        <v>152</v>
      </c>
      <c r="AB6" s="147"/>
    </row>
    <row r="7" spans="2:28" ht="12.5" customHeight="1">
      <c r="B7" s="145"/>
      <c r="AB7" s="147"/>
    </row>
    <row r="8" spans="2:28" ht="14.5" customHeight="1">
      <c r="B8" s="145"/>
      <c r="D8" s="1556" t="s">
        <v>153</v>
      </c>
      <c r="E8" s="1556"/>
      <c r="F8" s="1556"/>
      <c r="G8" s="1556"/>
      <c r="H8" s="1556"/>
      <c r="I8" s="1556"/>
      <c r="J8" s="1556"/>
      <c r="K8" s="1556"/>
      <c r="L8" s="1556"/>
      <c r="M8" s="1556"/>
      <c r="N8" s="1556"/>
      <c r="O8" s="1556"/>
      <c r="P8" s="1556"/>
      <c r="Q8" s="1556"/>
      <c r="R8" s="1556"/>
      <c r="S8" s="1556"/>
      <c r="AB8" s="147"/>
    </row>
    <row r="9" spans="2:28" ht="14.5" customHeight="1" thickBot="1">
      <c r="B9" s="149"/>
      <c r="D9" s="126">
        <v>6</v>
      </c>
      <c r="E9" s="126">
        <v>6</v>
      </c>
      <c r="F9" s="126">
        <v>5</v>
      </c>
      <c r="G9" s="126">
        <f>F9</f>
        <v>5</v>
      </c>
      <c r="H9" s="126" t="s">
        <v>371</v>
      </c>
      <c r="I9" s="126">
        <f>G9</f>
        <v>5</v>
      </c>
      <c r="J9" s="126">
        <f>I9</f>
        <v>5</v>
      </c>
      <c r="K9" s="126">
        <f t="shared" ref="K9:S9" si="0">J9</f>
        <v>5</v>
      </c>
      <c r="L9" s="126">
        <f t="shared" si="0"/>
        <v>5</v>
      </c>
      <c r="M9" s="126">
        <f t="shared" si="0"/>
        <v>5</v>
      </c>
      <c r="N9" s="126">
        <f t="shared" si="0"/>
        <v>5</v>
      </c>
      <c r="O9" s="126">
        <f t="shared" si="0"/>
        <v>5</v>
      </c>
      <c r="P9" s="126">
        <f t="shared" si="0"/>
        <v>5</v>
      </c>
      <c r="Q9" s="126">
        <f t="shared" si="0"/>
        <v>5</v>
      </c>
      <c r="R9" s="126">
        <f t="shared" si="0"/>
        <v>5</v>
      </c>
      <c r="S9" s="126">
        <f t="shared" si="0"/>
        <v>5</v>
      </c>
      <c r="AB9" s="147"/>
    </row>
    <row r="10" spans="2:28" ht="14.5" customHeight="1" thickTop="1" thickBot="1">
      <c r="B10" s="145"/>
      <c r="C10" s="76" t="s">
        <v>154</v>
      </c>
      <c r="D10" s="134">
        <v>42248</v>
      </c>
      <c r="E10" s="135">
        <v>42917</v>
      </c>
      <c r="F10" s="135">
        <v>43252</v>
      </c>
      <c r="G10" s="135">
        <v>43800</v>
      </c>
      <c r="H10" s="135">
        <v>43952</v>
      </c>
      <c r="I10" s="753">
        <v>44166</v>
      </c>
      <c r="J10" s="135">
        <v>44531</v>
      </c>
      <c r="K10" s="135">
        <v>44896</v>
      </c>
      <c r="L10" s="135">
        <v>45261</v>
      </c>
      <c r="M10" s="135">
        <v>45627</v>
      </c>
      <c r="N10" s="135">
        <v>45992</v>
      </c>
      <c r="O10" s="135">
        <v>46357</v>
      </c>
      <c r="P10" s="135">
        <v>46722</v>
      </c>
      <c r="Q10" s="135">
        <v>47088</v>
      </c>
      <c r="R10" s="135">
        <v>47453</v>
      </c>
      <c r="S10" s="136" t="s">
        <v>155</v>
      </c>
      <c r="AB10" s="147"/>
    </row>
    <row r="11" spans="2:28" ht="15" customHeight="1" thickTop="1">
      <c r="B11" s="145"/>
      <c r="C11" s="77">
        <v>40</v>
      </c>
      <c r="D11" s="133">
        <f t="shared" ref="D11:M12" si="1">D12*($C12/$C11)^AZA_exp_factor</f>
        <v>192.2534116133381</v>
      </c>
      <c r="E11" s="120">
        <f t="shared" si="1"/>
        <v>330.3339786211302</v>
      </c>
      <c r="F11" s="120">
        <f t="shared" si="1"/>
        <v>516.30165250334323</v>
      </c>
      <c r="G11" s="120">
        <f t="shared" si="1"/>
        <v>884.36073426102473</v>
      </c>
      <c r="H11" s="120">
        <f t="shared" si="1"/>
        <v>1109.569472067845</v>
      </c>
      <c r="I11" s="754">
        <f t="shared" si="1"/>
        <v>1109.569472067845</v>
      </c>
      <c r="J11" s="120">
        <f t="shared" si="1"/>
        <v>1737.4789611936278</v>
      </c>
      <c r="K11" s="120">
        <f t="shared" si="1"/>
        <v>2286.1565278863518</v>
      </c>
      <c r="L11" s="120">
        <f t="shared" si="1"/>
        <v>2972.0034862522575</v>
      </c>
      <c r="M11" s="120">
        <f t="shared" si="1"/>
        <v>3749.2967057336182</v>
      </c>
      <c r="N11" s="120">
        <f t="shared" ref="N11:O15" si="2">N12*($C12/$C11)^AZA_exp_factor</f>
        <v>4572.3130557727036</v>
      </c>
      <c r="O11" s="120">
        <f t="shared" si="2"/>
        <v>5486.7756669272439</v>
      </c>
      <c r="P11" s="120"/>
      <c r="Q11" s="120"/>
      <c r="R11" s="120"/>
      <c r="S11" s="128"/>
      <c r="AB11" s="147"/>
    </row>
    <row r="12" spans="2:28" ht="14.5" customHeight="1">
      <c r="B12" s="145"/>
      <c r="C12" s="77">
        <v>65</v>
      </c>
      <c r="D12" s="759">
        <v>110</v>
      </c>
      <c r="E12" s="120">
        <f>E13*($C13/$C12)^AZA_exp_factor</f>
        <v>189.00438407514514</v>
      </c>
      <c r="F12" s="120">
        <f>F13*($C13/$C12)^AZA_exp_factor</f>
        <v>295.40792695835614</v>
      </c>
      <c r="G12" s="120">
        <f>G13*($C13/$C12)^AZA_exp_factor</f>
        <v>505.99716255939603</v>
      </c>
      <c r="H12" s="120">
        <f>H13*($C13/$C12)^AZA_exp_factor</f>
        <v>634.85293136402902</v>
      </c>
      <c r="I12" s="754">
        <f>I13*($C13/$C12)^AZA_exp_factor</f>
        <v>634.85293136402902</v>
      </c>
      <c r="J12" s="120">
        <f t="shared" si="1"/>
        <v>994.11856532193474</v>
      </c>
      <c r="K12" s="120">
        <f t="shared" si="1"/>
        <v>1308.0507438446507</v>
      </c>
      <c r="L12" s="120">
        <f t="shared" si="1"/>
        <v>1700.4659669980458</v>
      </c>
      <c r="M12" s="120">
        <f t="shared" si="1"/>
        <v>2145.2032199052278</v>
      </c>
      <c r="N12" s="120">
        <f t="shared" si="2"/>
        <v>2616.1014876893014</v>
      </c>
      <c r="O12" s="120">
        <f t="shared" si="2"/>
        <v>3139.3217852271614</v>
      </c>
      <c r="P12" s="120">
        <f t="shared" ref="P12:R12" si="3">P14*($C14/$C12)^AZA_exp_factor</f>
        <v>3662.5420827650214</v>
      </c>
      <c r="Q12" s="120">
        <f t="shared" si="3"/>
        <v>4185.7623803028828</v>
      </c>
      <c r="R12" s="120">
        <f t="shared" si="3"/>
        <v>4708.9826778407432</v>
      </c>
      <c r="S12" s="128">
        <f>S13</f>
        <v>5009.9755317889312</v>
      </c>
      <c r="AB12" s="147"/>
    </row>
    <row r="13" spans="2:28" ht="14.5" customHeight="1">
      <c r="B13" s="145"/>
      <c r="C13" s="77">
        <v>80</v>
      </c>
      <c r="D13" s="137"/>
      <c r="E13" s="120">
        <f>E14*($C14/$C13)^AZA_exp_factor</f>
        <v>148.85682552418487</v>
      </c>
      <c r="F13" s="120">
        <f>F14*($C14/$C13)^AZA_exp_factor</f>
        <v>232.65855158268712</v>
      </c>
      <c r="G13" s="120">
        <f>G14*($C14/$C13)^AZA_exp_factor</f>
        <v>398.51526043380102</v>
      </c>
      <c r="H13" s="121">
        <v>500</v>
      </c>
      <c r="I13" s="755">
        <v>500</v>
      </c>
      <c r="J13" s="120">
        <f t="shared" ref="J13:R13" si="4">J14*($C14/$C13)^AZA_exp_factor</f>
        <v>782.95185877617098</v>
      </c>
      <c r="K13" s="120">
        <f t="shared" si="4"/>
        <v>1030.1998141791721</v>
      </c>
      <c r="L13" s="120">
        <f t="shared" si="4"/>
        <v>1339.2597584329237</v>
      </c>
      <c r="M13" s="120">
        <f t="shared" si="4"/>
        <v>1689.5276952538427</v>
      </c>
      <c r="N13" s="120">
        <f t="shared" si="4"/>
        <v>2060.3996283583442</v>
      </c>
      <c r="O13" s="120">
        <f t="shared" si="4"/>
        <v>2472.4795540300129</v>
      </c>
      <c r="P13" s="120">
        <f t="shared" si="4"/>
        <v>2884.5594797016815</v>
      </c>
      <c r="Q13" s="120">
        <f t="shared" si="4"/>
        <v>3296.6394053733516</v>
      </c>
      <c r="R13" s="120">
        <f t="shared" si="4"/>
        <v>3708.7193310450202</v>
      </c>
      <c r="S13" s="128">
        <f>S14</f>
        <v>5009.9755317889312</v>
      </c>
      <c r="AB13" s="147"/>
    </row>
    <row r="14" spans="2:28" ht="14.5" customHeight="1">
      <c r="B14" s="145"/>
      <c r="C14" s="77">
        <v>90</v>
      </c>
      <c r="D14" s="127"/>
      <c r="E14" s="758">
        <v>130</v>
      </c>
      <c r="F14" s="121">
        <f t="shared" ref="F14:M14" si="5">F15*($C15/$C14)^AZA_exp_factor</f>
        <v>203.18592445621718</v>
      </c>
      <c r="G14" s="121">
        <f t="shared" si="5"/>
        <v>348.03230334894533</v>
      </c>
      <c r="H14" s="120">
        <f t="shared" ref="H14:I16" si="6">H13*($C13/$C14)^AZA_exp_factor</f>
        <v>436.66119958630588</v>
      </c>
      <c r="I14" s="754">
        <f t="shared" si="6"/>
        <v>436.66119958630588</v>
      </c>
      <c r="J14" s="120">
        <f t="shared" si="5"/>
        <v>683.76939574306152</v>
      </c>
      <c r="K14" s="120">
        <f t="shared" si="5"/>
        <v>899.6965733461335</v>
      </c>
      <c r="L14" s="120">
        <f t="shared" si="5"/>
        <v>1169.6055453499735</v>
      </c>
      <c r="M14" s="120">
        <f t="shared" si="5"/>
        <v>1475.5023802876592</v>
      </c>
      <c r="N14" s="120">
        <f t="shared" si="2"/>
        <v>1799.393146692267</v>
      </c>
      <c r="O14" s="120">
        <f t="shared" si="2"/>
        <v>2159.27177603072</v>
      </c>
      <c r="P14" s="120">
        <f t="shared" ref="P14:R15" si="7">P15*($C15/$C14)^AZA_exp_factor</f>
        <v>2519.1504053691733</v>
      </c>
      <c r="Q14" s="120">
        <f t="shared" si="7"/>
        <v>2879.0290347076275</v>
      </c>
      <c r="R14" s="120">
        <f t="shared" si="7"/>
        <v>3238.9076640460808</v>
      </c>
      <c r="S14" s="128">
        <f>S15*($C15/$C14)^AZA_exp_factor</f>
        <v>5009.9755317889312</v>
      </c>
      <c r="AB14" s="147"/>
    </row>
    <row r="15" spans="2:28" ht="14.5" customHeight="1">
      <c r="B15" s="145"/>
      <c r="C15" s="77">
        <v>100</v>
      </c>
      <c r="D15" s="127"/>
      <c r="E15" s="78"/>
      <c r="F15" s="138">
        <v>180</v>
      </c>
      <c r="G15" s="120">
        <f t="shared" ref="G15:M15" si="8">G16*($C16/$C15)^AZA_exp_factor</f>
        <v>308.3176886906316</v>
      </c>
      <c r="H15" s="120">
        <f t="shared" si="6"/>
        <v>386.83297642731986</v>
      </c>
      <c r="I15" s="754">
        <f t="shared" si="6"/>
        <v>386.83297642731986</v>
      </c>
      <c r="J15" s="120">
        <f t="shared" si="8"/>
        <v>605.74319585937758</v>
      </c>
      <c r="K15" s="120">
        <f t="shared" si="8"/>
        <v>797.03052086760204</v>
      </c>
      <c r="L15" s="120">
        <f t="shared" si="8"/>
        <v>1036.1396771278826</v>
      </c>
      <c r="M15" s="120">
        <f t="shared" si="8"/>
        <v>1307.1300542228676</v>
      </c>
      <c r="N15" s="120">
        <f t="shared" si="2"/>
        <v>1594.0610417352041</v>
      </c>
      <c r="O15" s="120">
        <f t="shared" si="2"/>
        <v>1912.8732500822448</v>
      </c>
      <c r="P15" s="120">
        <f t="shared" si="7"/>
        <v>2231.6854584292855</v>
      </c>
      <c r="Q15" s="120">
        <f t="shared" si="7"/>
        <v>2550.4976667763267</v>
      </c>
      <c r="R15" s="120">
        <f t="shared" si="7"/>
        <v>2869.3098751233674</v>
      </c>
      <c r="S15" s="128">
        <f>S16*($C16/$C15)^AZA_exp_factor</f>
        <v>4438.2778882713792</v>
      </c>
      <c r="AB15" s="147"/>
    </row>
    <row r="16" spans="2:28" ht="14.5" customHeight="1">
      <c r="B16" s="145"/>
      <c r="C16" s="77">
        <v>120</v>
      </c>
      <c r="D16" s="129"/>
      <c r="E16" s="77"/>
      <c r="F16" s="78"/>
      <c r="G16" s="138">
        <v>250</v>
      </c>
      <c r="H16" s="120">
        <f t="shared" si="6"/>
        <v>313.66427439674982</v>
      </c>
      <c r="I16" s="754">
        <f t="shared" si="6"/>
        <v>313.66427439674982</v>
      </c>
      <c r="J16" s="120">
        <f t="shared" ref="J16:S16" si="9">J17*($C17/$C16)^AZA_exp_factor</f>
        <v>491.16805334122841</v>
      </c>
      <c r="K16" s="120">
        <f t="shared" si="9"/>
        <v>646.27375439635318</v>
      </c>
      <c r="L16" s="120">
        <f t="shared" si="9"/>
        <v>840.15588071525906</v>
      </c>
      <c r="M16" s="120">
        <f t="shared" si="9"/>
        <v>1059.8889572100193</v>
      </c>
      <c r="N16" s="120">
        <f t="shared" si="9"/>
        <v>1292.5475087927064</v>
      </c>
      <c r="O16" s="120">
        <f t="shared" si="9"/>
        <v>1551.0570105512475</v>
      </c>
      <c r="P16" s="120">
        <f t="shared" si="9"/>
        <v>1809.5665123097888</v>
      </c>
      <c r="Q16" s="120">
        <f t="shared" si="9"/>
        <v>2068.0760140683301</v>
      </c>
      <c r="R16" s="120">
        <f t="shared" si="9"/>
        <v>2326.5855158268714</v>
      </c>
      <c r="S16" s="128">
        <f t="shared" si="9"/>
        <v>3598.786293384534</v>
      </c>
      <c r="AB16" s="147"/>
    </row>
    <row r="17" spans="2:28" ht="14.5" customHeight="1">
      <c r="B17" s="145"/>
      <c r="C17" s="77">
        <v>150</v>
      </c>
      <c r="D17" s="129"/>
      <c r="E17" s="77"/>
      <c r="F17" s="78"/>
      <c r="G17" s="78"/>
      <c r="H17" s="78"/>
      <c r="I17" s="756">
        <v>240</v>
      </c>
      <c r="J17" s="138">
        <v>380</v>
      </c>
      <c r="K17" s="138">
        <v>500</v>
      </c>
      <c r="L17" s="138">
        <v>650</v>
      </c>
      <c r="M17" s="138">
        <v>820</v>
      </c>
      <c r="N17" s="138">
        <v>1000</v>
      </c>
      <c r="O17" s="138">
        <v>1200</v>
      </c>
      <c r="P17" s="138">
        <v>1400</v>
      </c>
      <c r="Q17" s="138">
        <v>1600</v>
      </c>
      <c r="R17" s="138">
        <v>1800</v>
      </c>
      <c r="S17" s="128">
        <f>S18*($C18/$C17)^AZA_exp_factor</f>
        <v>2784.2584267915627</v>
      </c>
      <c r="AB17" s="147"/>
    </row>
    <row r="18" spans="2:28" ht="14.5" customHeight="1" thickBot="1">
      <c r="B18" s="145"/>
      <c r="C18" s="77">
        <v>200</v>
      </c>
      <c r="D18" s="130"/>
      <c r="E18" s="131"/>
      <c r="F18" s="131"/>
      <c r="G18" s="131"/>
      <c r="H18" s="131"/>
      <c r="I18" s="757"/>
      <c r="J18" s="131"/>
      <c r="K18" s="131"/>
      <c r="L18" s="132"/>
      <c r="M18" s="132"/>
      <c r="N18" s="132"/>
      <c r="O18" s="132"/>
      <c r="P18" s="132"/>
      <c r="Q18" s="132"/>
      <c r="R18" s="132"/>
      <c r="S18" s="139">
        <v>2000</v>
      </c>
      <c r="AB18" s="147"/>
    </row>
    <row r="19" spans="2:28" ht="14.5" customHeight="1" thickTop="1">
      <c r="B19" s="145"/>
      <c r="C19" s="122" t="s">
        <v>178</v>
      </c>
      <c r="D19" s="77"/>
      <c r="E19" s="77"/>
      <c r="F19" s="123">
        <f>((F15*$C15)/(D12*$C12))^(1/((F10-D10)/365))-1</f>
        <v>0.39884527548963411</v>
      </c>
      <c r="G19" s="123">
        <f>((G15*$C15)/(F14*$C14))^(1/((G10-F10)/365))-1</f>
        <v>0.41613138471442568</v>
      </c>
      <c r="H19" s="123">
        <f>((H14*$C14)/(G14*$C14))^(1/((H10-G10)/365))-1</f>
        <v>0.72420838516046393</v>
      </c>
      <c r="I19" s="123">
        <f>((I13*$C13)/(H13*$C13))^(1/((I10-H10)/365))-1</f>
        <v>0</v>
      </c>
      <c r="J19" s="123">
        <f>((J15*$C15)/(I14*$C14))^(1/((J10-I10)/365))-1</f>
        <v>0.54135058493164978</v>
      </c>
      <c r="K19" s="123">
        <f t="shared" ref="K19:R19" si="10">((K17*$C17)/(J17*$C17))^(1/((K10-J10)/365))-1</f>
        <v>0.31578947368421062</v>
      </c>
      <c r="L19" s="123">
        <f t="shared" si="10"/>
        <v>0.30000000000000004</v>
      </c>
      <c r="M19" s="123">
        <f t="shared" si="10"/>
        <v>0.26073790766325788</v>
      </c>
      <c r="N19" s="123">
        <f t="shared" si="10"/>
        <v>0.21951219512195119</v>
      </c>
      <c r="O19" s="123">
        <f t="shared" si="10"/>
        <v>0.19999999999999996</v>
      </c>
      <c r="P19" s="123">
        <f t="shared" si="10"/>
        <v>0.16666666666666674</v>
      </c>
      <c r="Q19" s="123">
        <f t="shared" si="10"/>
        <v>0.14244025905761548</v>
      </c>
      <c r="R19" s="123">
        <f t="shared" si="10"/>
        <v>0.125</v>
      </c>
      <c r="S19" s="123">
        <f>((S17*$C17)/(R17*$C17))</f>
        <v>1.5468102371064236</v>
      </c>
      <c r="AB19" s="147"/>
    </row>
    <row r="20" spans="2:28" ht="20.25" customHeight="1">
      <c r="B20" s="145"/>
      <c r="D20" s="150" t="s">
        <v>156</v>
      </c>
      <c r="J20" s="151">
        <v>2</v>
      </c>
      <c r="K20" s="151">
        <v>3</v>
      </c>
      <c r="L20" s="151">
        <v>4</v>
      </c>
      <c r="M20" s="152">
        <v>4.5</v>
      </c>
      <c r="N20" s="151">
        <v>5</v>
      </c>
      <c r="O20" s="151">
        <v>5</v>
      </c>
      <c r="P20" s="152">
        <v>5.5</v>
      </c>
      <c r="Q20" s="152">
        <v>5.5</v>
      </c>
      <c r="R20" s="151">
        <v>6</v>
      </c>
      <c r="S20" s="153">
        <v>8</v>
      </c>
      <c r="U20" s="154" t="s">
        <v>157</v>
      </c>
      <c r="AB20" s="147"/>
    </row>
    <row r="21" spans="2:28" ht="13" customHeight="1">
      <c r="B21" s="145"/>
      <c r="C21" s="150">
        <v>2</v>
      </c>
      <c r="D21" s="150" t="s">
        <v>179</v>
      </c>
      <c r="E21" s="150"/>
      <c r="F21" s="150"/>
      <c r="G21" s="150"/>
      <c r="H21" s="150"/>
      <c r="I21" s="150"/>
      <c r="J21" s="155">
        <f>J20*360*$C21</f>
        <v>1440</v>
      </c>
      <c r="K21" s="155">
        <f t="shared" ref="K21:S21" si="11">K20*360*$C21</f>
        <v>2160</v>
      </c>
      <c r="L21" s="155">
        <f t="shared" si="11"/>
        <v>2880</v>
      </c>
      <c r="M21" s="155">
        <f t="shared" si="11"/>
        <v>3240</v>
      </c>
      <c r="N21" s="155">
        <f t="shared" si="11"/>
        <v>3600</v>
      </c>
      <c r="O21" s="155">
        <f t="shared" si="11"/>
        <v>3600</v>
      </c>
      <c r="P21" s="155">
        <f t="shared" si="11"/>
        <v>3960</v>
      </c>
      <c r="Q21" s="155">
        <f t="shared" si="11"/>
        <v>3960</v>
      </c>
      <c r="R21" s="155">
        <f t="shared" si="11"/>
        <v>4320</v>
      </c>
      <c r="S21" s="155">
        <f t="shared" si="11"/>
        <v>5760</v>
      </c>
      <c r="U21" s="154" t="s">
        <v>868</v>
      </c>
      <c r="AB21" s="147"/>
    </row>
    <row r="22" spans="2:28" ht="4.5" customHeight="1">
      <c r="B22" s="145"/>
      <c r="C22" s="150"/>
      <c r="D22" s="150"/>
      <c r="E22" s="150"/>
      <c r="F22" s="150"/>
      <c r="G22" s="150"/>
      <c r="H22" s="150"/>
      <c r="I22" s="150"/>
      <c r="J22" s="155"/>
      <c r="K22" s="155"/>
      <c r="L22" s="155"/>
      <c r="M22" s="155"/>
      <c r="N22" s="155"/>
      <c r="O22" s="155"/>
      <c r="P22" s="155"/>
      <c r="Q22" s="155"/>
      <c r="R22" s="155"/>
      <c r="S22" s="155"/>
      <c r="U22" s="154"/>
      <c r="AB22" s="147"/>
    </row>
    <row r="23" spans="2:28" ht="13" customHeight="1">
      <c r="B23" s="145"/>
      <c r="C23" s="150"/>
      <c r="D23" s="150"/>
      <c r="E23" s="1123"/>
      <c r="F23" s="1123"/>
      <c r="G23" s="1124" t="s">
        <v>732</v>
      </c>
      <c r="H23" s="1123"/>
      <c r="I23" s="1123"/>
      <c r="J23" s="1125"/>
      <c r="K23" s="1126">
        <v>0.55000000000000004</v>
      </c>
      <c r="L23" s="1126">
        <f>K23</f>
        <v>0.55000000000000004</v>
      </c>
      <c r="M23" s="1126">
        <f t="shared" ref="M23:S23" si="12">L23</f>
        <v>0.55000000000000004</v>
      </c>
      <c r="N23" s="1126">
        <f t="shared" si="12"/>
        <v>0.55000000000000004</v>
      </c>
      <c r="O23" s="1126">
        <f t="shared" si="12"/>
        <v>0.55000000000000004</v>
      </c>
      <c r="P23" s="1126">
        <f t="shared" si="12"/>
        <v>0.55000000000000004</v>
      </c>
      <c r="Q23" s="1126">
        <f t="shared" si="12"/>
        <v>0.55000000000000004</v>
      </c>
      <c r="R23" s="1126">
        <f t="shared" si="12"/>
        <v>0.55000000000000004</v>
      </c>
      <c r="S23" s="1126">
        <f t="shared" si="12"/>
        <v>0.55000000000000004</v>
      </c>
      <c r="U23" s="154"/>
      <c r="AB23" s="147"/>
    </row>
    <row r="24" spans="2:28" ht="3.75" customHeight="1" thickBot="1">
      <c r="B24" s="156"/>
      <c r="C24" s="157"/>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157"/>
      <c r="AB24" s="158"/>
    </row>
    <row r="25" spans="2:28" ht="6.75" customHeight="1" thickTop="1"/>
    <row r="27" spans="2:28" ht="12.5" customHeight="1">
      <c r="D27" s="970" t="s">
        <v>691</v>
      </c>
    </row>
  </sheetData>
  <sheetProtection selectLockedCells="1" selectUnlockedCells="1"/>
  <mergeCells count="2">
    <mergeCell ref="E3:AA3"/>
    <mergeCell ref="D8:S8"/>
  </mergeCells>
  <pageMargins left="0.3" right="0.3" top="0.69027777777777799" bottom="0.51249999999999996" header="0.42499999999999999" footer="0.24722222222222201"/>
  <pageSetup paperSize="9" scale="70" firstPageNumber="0"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C000"/>
  </sheetPr>
  <dimension ref="B2:M115"/>
  <sheetViews>
    <sheetView topLeftCell="B22" zoomScale="85" zoomScaleNormal="85" workbookViewId="0">
      <selection activeCell="B40" sqref="B40"/>
    </sheetView>
  </sheetViews>
  <sheetFormatPr baseColWidth="10" defaultColWidth="8.83203125" defaultRowHeight="13" outlineLevelRow="1"/>
  <cols>
    <col min="2" max="2" width="29.33203125" customWidth="1"/>
    <col min="3" max="3" width="7.5" customWidth="1"/>
    <col min="4" max="4" width="13.5" customWidth="1"/>
    <col min="5" max="5" width="1.83203125" customWidth="1"/>
    <col min="6" max="6" width="16.83203125" style="1" bestFit="1" customWidth="1"/>
    <col min="7" max="8" width="17" style="1" customWidth="1"/>
    <col min="9" max="9" width="14.5" style="1" customWidth="1"/>
    <col min="10" max="10" width="16.6640625" style="1" customWidth="1"/>
    <col min="13" max="13" width="58.1640625" customWidth="1"/>
  </cols>
  <sheetData>
    <row r="2" spans="2:13">
      <c r="B2" s="119" t="s">
        <v>477</v>
      </c>
    </row>
    <row r="3" spans="2:13">
      <c r="B3" s="543" t="s">
        <v>495</v>
      </c>
    </row>
    <row r="4" spans="2:13">
      <c r="F4" s="1557" t="s">
        <v>465</v>
      </c>
      <c r="G4" s="1557"/>
      <c r="H4" s="1557"/>
      <c r="I4" s="1557"/>
      <c r="J4" s="1557"/>
    </row>
    <row r="5" spans="2:13" s="6" customFormat="1" ht="28">
      <c r="B5" s="491" t="s">
        <v>475</v>
      </c>
      <c r="F5" s="815" t="str">
        <f ca="1">OFFSET('DropDown menus'!$X$11,F6-1,0)</f>
        <v>Best Location 
(Chile, Emirates…)</v>
      </c>
      <c r="G5" s="815" t="str">
        <f ca="1">OFFSET('DropDown menus'!$X$11,G6-1,0)</f>
        <v>North Africa 
(Tanger, Rabat…)</v>
      </c>
      <c r="H5" s="815" t="str">
        <f ca="1">OFFSET('DropDown menus'!$X$11,H6-1,0)</f>
        <v>California</v>
      </c>
      <c r="I5" s="815" t="str">
        <f ca="1">OFFSET('DropDown menus'!$X$11,I6-1,0)</f>
        <v xml:space="preserve">Spain, Portugal, </v>
      </c>
      <c r="J5" s="815" t="str">
        <f ca="1">OFFSET('DropDown menus'!$X$11,J6-1,0)</f>
        <v>Germany, UK…</v>
      </c>
    </row>
    <row r="6" spans="2:13">
      <c r="B6" s="561" t="s">
        <v>619</v>
      </c>
      <c r="F6" s="853">
        <v>1</v>
      </c>
      <c r="G6" s="853">
        <f>F6+1</f>
        <v>2</v>
      </c>
      <c r="H6" s="853">
        <f>G6+1</f>
        <v>3</v>
      </c>
      <c r="I6" s="853">
        <f>H6+1</f>
        <v>4</v>
      </c>
      <c r="J6" s="853">
        <f>I6+1</f>
        <v>5</v>
      </c>
    </row>
    <row r="7" spans="2:13">
      <c r="B7" t="s">
        <v>617</v>
      </c>
    </row>
    <row r="9" spans="2:13">
      <c r="B9" s="467" t="s">
        <v>463</v>
      </c>
      <c r="C9" s="466"/>
      <c r="D9" s="539" t="s">
        <v>872</v>
      </c>
      <c r="E9" s="466"/>
      <c r="F9" s="537">
        <f ca="1">F10+F11</f>
        <v>0.55000000000000004</v>
      </c>
      <c r="G9" s="537">
        <f ca="1">G10+G11</f>
        <v>0.5</v>
      </c>
      <c r="H9" s="537">
        <f ca="1">H10+H11</f>
        <v>0.55000000000000004</v>
      </c>
      <c r="I9" s="537">
        <f ca="1">I10+I11</f>
        <v>0.55000000000000004</v>
      </c>
      <c r="J9" s="537">
        <f ca="1">J10+J11</f>
        <v>0.60000000000000009</v>
      </c>
    </row>
    <row r="10" spans="2:13" s="561" customFormat="1">
      <c r="B10" s="1289" t="s">
        <v>468</v>
      </c>
      <c r="C10" s="542"/>
      <c r="D10" s="1290" t="s">
        <v>872</v>
      </c>
      <c r="F10" s="1291">
        <f ca="1">OFFSET('DropDown menus'!$AD$11,F6-1,0)</f>
        <v>0.15</v>
      </c>
      <c r="G10" s="1291">
        <f ca="1">OFFSET('DropDown menus'!$AD$11,G6-1,0)</f>
        <v>0.1</v>
      </c>
      <c r="H10" s="1291">
        <f ca="1">OFFSET('DropDown menus'!$AD$11,H6-1,0)</f>
        <v>0.15</v>
      </c>
      <c r="I10" s="1291">
        <f ca="1">OFFSET('DropDown menus'!$AD$11,I6-1,0)</f>
        <v>0.15</v>
      </c>
      <c r="J10" s="1291">
        <f ca="1">OFFSET('DropDown menus'!$AD$11,J6-1,0)</f>
        <v>0.2</v>
      </c>
    </row>
    <row r="11" spans="2:13" s="561" customFormat="1">
      <c r="B11" s="1289" t="s">
        <v>467</v>
      </c>
      <c r="C11" s="542"/>
      <c r="D11" s="1290" t="s">
        <v>872</v>
      </c>
      <c r="F11" s="1291">
        <f ca="1">OFFSET('DropDown menus'!$AC$11,F6-1,0)</f>
        <v>0.4</v>
      </c>
      <c r="G11" s="1291">
        <f ca="1">OFFSET('DropDown menus'!$AC$11,G6-1,0)</f>
        <v>0.4</v>
      </c>
      <c r="H11" s="1291">
        <f ca="1">OFFSET('DropDown menus'!$AC$11,H6-1,0)</f>
        <v>0.4</v>
      </c>
      <c r="I11" s="1291">
        <f ca="1">OFFSET('DropDown menus'!$AC$11,I6-1,0)</f>
        <v>0.4</v>
      </c>
      <c r="J11" s="1291">
        <f ca="1">OFFSET('DropDown menus'!$AC$11,J6-1,0)</f>
        <v>0.4</v>
      </c>
      <c r="L11" s="1292"/>
      <c r="M11" s="542" t="s">
        <v>873</v>
      </c>
    </row>
    <row r="12" spans="2:13">
      <c r="D12" s="532"/>
      <c r="M12" t="s">
        <v>574</v>
      </c>
    </row>
    <row r="13" spans="2:13">
      <c r="B13" s="467" t="s">
        <v>46</v>
      </c>
      <c r="C13" s="466"/>
      <c r="D13" s="539" t="s">
        <v>875</v>
      </c>
      <c r="E13" s="466"/>
      <c r="F13" s="537">
        <f ca="1">F14*F15/1000</f>
        <v>2.16</v>
      </c>
      <c r="G13" s="537">
        <f ca="1">G14*G15/1000</f>
        <v>1.9440000000000002</v>
      </c>
      <c r="H13" s="537">
        <f ca="1">H14*H15/1000</f>
        <v>1.728</v>
      </c>
      <c r="I13" s="537">
        <f ca="1">I14*I15/1000</f>
        <v>1.728</v>
      </c>
      <c r="J13" s="537">
        <f ca="1">J14*J15/1000</f>
        <v>1.08</v>
      </c>
    </row>
    <row r="14" spans="2:13">
      <c r="B14" s="532" t="s">
        <v>473</v>
      </c>
      <c r="D14" s="532" t="s">
        <v>238</v>
      </c>
      <c r="F14" s="701">
        <f ca="1">OFFSET('DropDown menus'!$Z$11,F6-1,0)</f>
        <v>6</v>
      </c>
      <c r="G14" s="701">
        <f ca="1">OFFSET('DropDown menus'!$Z$11,G6-1,0)</f>
        <v>5.4</v>
      </c>
      <c r="H14" s="701">
        <f ca="1">OFFSET('DropDown menus'!$Z$11,H6-1,0)</f>
        <v>4.8</v>
      </c>
      <c r="I14" s="701">
        <f ca="1">OFFSET('DropDown menus'!$Z$11,I6-1,0)</f>
        <v>4.8</v>
      </c>
      <c r="J14" s="701">
        <f ca="1">OFFSET('DropDown menus'!$Z$11,J6-1,0)</f>
        <v>3</v>
      </c>
    </row>
    <row r="15" spans="2:13">
      <c r="B15" s="532" t="s">
        <v>469</v>
      </c>
      <c r="D15" s="532" t="s">
        <v>470</v>
      </c>
      <c r="F15" s="531">
        <v>360</v>
      </c>
      <c r="G15" s="531">
        <f>F15</f>
        <v>360</v>
      </c>
      <c r="H15" s="531">
        <f>F15</f>
        <v>360</v>
      </c>
      <c r="I15" s="531">
        <f>G15</f>
        <v>360</v>
      </c>
      <c r="J15" s="531">
        <f>I15</f>
        <v>360</v>
      </c>
    </row>
    <row r="16" spans="2:13">
      <c r="B16" s="532"/>
      <c r="D16" s="532"/>
      <c r="F16" s="531"/>
      <c r="G16" s="531"/>
      <c r="H16" s="531"/>
      <c r="I16" s="531"/>
      <c r="J16" s="531"/>
    </row>
    <row r="17" spans="2:13">
      <c r="B17" s="467" t="s">
        <v>464</v>
      </c>
      <c r="C17" s="466"/>
      <c r="D17" s="539" t="s">
        <v>871</v>
      </c>
      <c r="E17" s="466"/>
      <c r="F17" s="585">
        <f ca="1">F18*F9*1000</f>
        <v>11.000000000000002</v>
      </c>
      <c r="G17" s="585">
        <f ca="1">G18*G9*1000</f>
        <v>10</v>
      </c>
      <c r="H17" s="585">
        <f ca="1">H18*H9*1000</f>
        <v>11.000000000000002</v>
      </c>
      <c r="I17" s="585">
        <f ca="1">I18*I9*1000</f>
        <v>11.000000000000002</v>
      </c>
      <c r="J17" s="585">
        <f ca="1">J18*J9*1000</f>
        <v>12.000000000000002</v>
      </c>
      <c r="L17" s="548" t="s">
        <v>874</v>
      </c>
    </row>
    <row r="18" spans="2:13" s="530" customFormat="1" ht="18" customHeight="1">
      <c r="B18" s="534" t="s">
        <v>471</v>
      </c>
      <c r="D18" s="532" t="s">
        <v>472</v>
      </c>
      <c r="F18" s="589">
        <f ca="1">$L18</f>
        <v>0.02</v>
      </c>
      <c r="G18" s="589">
        <f ca="1">$L18</f>
        <v>0.02</v>
      </c>
      <c r="H18" s="589">
        <f ca="1">$L18</f>
        <v>0.02</v>
      </c>
      <c r="I18" s="589">
        <f ca="1">$L18</f>
        <v>0.02</v>
      </c>
      <c r="J18" s="589">
        <f ca="1">$L18</f>
        <v>0.02</v>
      </c>
      <c r="L18" s="888">
        <f ca="1">'DropDown menus'!AF9</f>
        <v>0.02</v>
      </c>
    </row>
    <row r="19" spans="2:13">
      <c r="B19" s="532"/>
      <c r="D19" s="532"/>
      <c r="F19" s="533"/>
    </row>
    <row r="20" spans="2:13" ht="18" customHeight="1">
      <c r="B20" s="119" t="s">
        <v>508</v>
      </c>
      <c r="D20" s="532" t="s">
        <v>474</v>
      </c>
      <c r="F20" s="816">
        <f t="shared" ref="F20:J21" ca="1" si="0">$L20</f>
        <v>0.02</v>
      </c>
      <c r="G20" s="816">
        <f t="shared" ca="1" si="0"/>
        <v>0.02</v>
      </c>
      <c r="H20" s="816">
        <f t="shared" ca="1" si="0"/>
        <v>0.02</v>
      </c>
      <c r="I20" s="816">
        <f t="shared" ca="1" si="0"/>
        <v>0.02</v>
      </c>
      <c r="J20" s="816">
        <f t="shared" ca="1" si="0"/>
        <v>0.02</v>
      </c>
      <c r="L20" s="883">
        <f ca="1">'DropDown menus'!$F$9</f>
        <v>0.02</v>
      </c>
    </row>
    <row r="21" spans="2:13" ht="18" customHeight="1">
      <c r="B21" s="119" t="s">
        <v>478</v>
      </c>
      <c r="D21" s="532" t="s">
        <v>474</v>
      </c>
      <c r="F21" s="816">
        <f t="shared" ca="1" si="0"/>
        <v>0.04</v>
      </c>
      <c r="G21" s="816">
        <f t="shared" ca="1" si="0"/>
        <v>0.04</v>
      </c>
      <c r="H21" s="816">
        <f t="shared" ca="1" si="0"/>
        <v>0.04</v>
      </c>
      <c r="I21" s="816">
        <f t="shared" ca="1" si="0"/>
        <v>0.04</v>
      </c>
      <c r="J21" s="816">
        <f t="shared" ca="1" si="0"/>
        <v>0.04</v>
      </c>
      <c r="L21" s="884">
        <f ca="1">'DropDown menus'!$I$9</f>
        <v>0.04</v>
      </c>
    </row>
    <row r="22" spans="2:13">
      <c r="B22" s="119" t="s">
        <v>485</v>
      </c>
      <c r="D22" s="532" t="s">
        <v>474</v>
      </c>
      <c r="F22" s="816">
        <f ca="1">(1+F21)/(1+F20)-1</f>
        <v>1.9607843137254832E-2</v>
      </c>
      <c r="G22" s="816">
        <f ca="1">(1+G21)/(1+G20)-1</f>
        <v>1.9607843137254832E-2</v>
      </c>
      <c r="H22" s="816">
        <f ca="1">(1+H21)/(1+H20)-1</f>
        <v>1.9607843137254832E-2</v>
      </c>
      <c r="I22" s="816">
        <f ca="1">(1+I21)/(1+I20)-1</f>
        <v>1.9607843137254832E-2</v>
      </c>
      <c r="J22" s="816">
        <f ca="1">(1+J21)/(1+J20)-1</f>
        <v>1.9607843137254832E-2</v>
      </c>
    </row>
    <row r="23" spans="2:13">
      <c r="B23" s="119" t="s">
        <v>489</v>
      </c>
      <c r="D23" s="532" t="s">
        <v>474</v>
      </c>
      <c r="F23" s="885">
        <f ca="1">(1+F24)^(1/F27)-1</f>
        <v>-1.1095167094968383E-2</v>
      </c>
      <c r="G23" s="885">
        <f ca="1">(1+G24)^(1/G27)-1</f>
        <v>-9.8734808881655312E-3</v>
      </c>
      <c r="H23" s="885">
        <f ca="1">(1+H24)^(1/H27)-1</f>
        <v>-8.0930202178601807E-3</v>
      </c>
      <c r="I23" s="885">
        <f ca="1">(1+I24)^(1/I27)-1</f>
        <v>-7.5127813981430425E-3</v>
      </c>
      <c r="J23" s="885">
        <f ca="1">(1+J24)^(1/J27)-1</f>
        <v>-7.5127813981430425E-3</v>
      </c>
      <c r="L23" s="595"/>
    </row>
    <row r="24" spans="2:13" s="596" customFormat="1">
      <c r="B24" s="532" t="s">
        <v>505</v>
      </c>
      <c r="C24" s="532"/>
      <c r="D24" s="532" t="s">
        <v>652</v>
      </c>
      <c r="F24" s="816">
        <f ca="1">OFFSET('DropDown menus'!$AA$11,F6-1,0)</f>
        <v>-0.2</v>
      </c>
      <c r="G24" s="816">
        <f ca="1">OFFSET('DropDown menus'!$AA$11,G6-1,0)</f>
        <v>-0.18</v>
      </c>
      <c r="H24" s="816">
        <f ca="1">OFFSET('DropDown menus'!$AA$11,H6-1,0)</f>
        <v>-0.15</v>
      </c>
      <c r="I24" s="816">
        <f ca="1">OFFSET('DropDown menus'!$AA$11,I6-1,0)</f>
        <v>-0.14000000000000001</v>
      </c>
      <c r="J24" s="816">
        <f ca="1">OFFSET('DropDown menus'!$AA$11,J6-1,0)</f>
        <v>-0.14000000000000001</v>
      </c>
      <c r="L24" s="598"/>
    </row>
    <row r="25" spans="2:13">
      <c r="B25" s="119" t="s">
        <v>488</v>
      </c>
      <c r="D25" s="532" t="s">
        <v>870</v>
      </c>
      <c r="F25" s="549">
        <v>0</v>
      </c>
      <c r="G25" s="549">
        <f t="shared" ref="G25:J26" si="1">F25</f>
        <v>0</v>
      </c>
      <c r="H25" s="549">
        <f>F25</f>
        <v>0</v>
      </c>
      <c r="I25" s="549">
        <f>G25</f>
        <v>0</v>
      </c>
      <c r="J25" s="549">
        <f t="shared" si="1"/>
        <v>0</v>
      </c>
    </row>
    <row r="26" spans="2:13">
      <c r="B26" s="119" t="s">
        <v>487</v>
      </c>
      <c r="D26" s="532" t="s">
        <v>870</v>
      </c>
      <c r="F26" s="531">
        <v>0</v>
      </c>
      <c r="G26" s="531">
        <f t="shared" si="1"/>
        <v>0</v>
      </c>
      <c r="H26" s="531">
        <f>F26</f>
        <v>0</v>
      </c>
      <c r="I26" s="531">
        <f>G26</f>
        <v>0</v>
      </c>
      <c r="J26" s="531">
        <f t="shared" si="1"/>
        <v>0</v>
      </c>
    </row>
    <row r="27" spans="2:13">
      <c r="B27" s="119" t="s">
        <v>486</v>
      </c>
      <c r="D27" s="532" t="s">
        <v>61</v>
      </c>
      <c r="F27" s="701">
        <f ca="1">OFFSET('DropDown menus'!$AB$11,F6-1,0)</f>
        <v>20</v>
      </c>
      <c r="G27" s="701">
        <f ca="1">OFFSET('DropDown menus'!$AB$11,G6-1,0)</f>
        <v>20</v>
      </c>
      <c r="H27" s="701">
        <f ca="1">OFFSET('DropDown menus'!$AB$11,H6-1,0)</f>
        <v>20</v>
      </c>
      <c r="I27" s="701">
        <f ca="1">OFFSET('DropDown menus'!$AB$11,I6-1,0)</f>
        <v>20</v>
      </c>
      <c r="J27" s="701">
        <f ca="1">OFFSET('DropDown menus'!$AB$11,J6-1,0)</f>
        <v>20</v>
      </c>
      <c r="L27" s="531"/>
      <c r="M27" t="s">
        <v>550</v>
      </c>
    </row>
    <row r="29" spans="2:13">
      <c r="B29" s="542" t="s">
        <v>476</v>
      </c>
    </row>
    <row r="31" spans="2:13">
      <c r="B31" s="545" t="s">
        <v>483</v>
      </c>
      <c r="C31" s="459"/>
      <c r="D31" s="546" t="s">
        <v>484</v>
      </c>
      <c r="E31" s="456"/>
      <c r="F31" s="547">
        <f ca="1">F36/F63/1000</f>
        <v>2.2842981199965015E-2</v>
      </c>
      <c r="G31" s="547">
        <f ca="1">G36/G63/1000</f>
        <v>2.2804391258740928E-2</v>
      </c>
      <c r="H31" s="547">
        <f ca="1">H36/H63/1000</f>
        <v>2.7739904186399884E-2</v>
      </c>
      <c r="I31" s="547">
        <f ca="1">I36/I63/1000</f>
        <v>2.7584632576929363E-2</v>
      </c>
      <c r="J31" s="547">
        <f ca="1">J36/J63/1000</f>
        <v>4.8147722316094876E-2</v>
      </c>
      <c r="K31" s="1293">
        <f>EUR2USD_2020</f>
        <v>1.1000000000000001</v>
      </c>
      <c r="L31" s="1294" t="s">
        <v>876</v>
      </c>
    </row>
    <row r="32" spans="2:13">
      <c r="B32" s="545" t="s">
        <v>483</v>
      </c>
      <c r="C32" s="459"/>
      <c r="D32" s="546" t="s">
        <v>1</v>
      </c>
      <c r="E32" s="456"/>
      <c r="F32" s="547">
        <f ca="1">F31*$K$31</f>
        <v>2.5127279319961518E-2</v>
      </c>
      <c r="G32" s="547">
        <f t="shared" ref="G32:J32" ca="1" si="2">G31*$K$31</f>
        <v>2.5084830384615023E-2</v>
      </c>
      <c r="H32" s="547">
        <f t="shared" ca="1" si="2"/>
        <v>3.0513894605039876E-2</v>
      </c>
      <c r="I32" s="547">
        <f t="shared" ca="1" si="2"/>
        <v>3.0343095834622302E-2</v>
      </c>
      <c r="J32" s="547">
        <f t="shared" ca="1" si="2"/>
        <v>5.2962494547704367E-2</v>
      </c>
    </row>
    <row r="33" spans="2:13" ht="12.75" customHeight="1">
      <c r="B33" s="544" t="s">
        <v>551</v>
      </c>
      <c r="C33" s="531">
        <v>20</v>
      </c>
      <c r="D33" s="536" t="s">
        <v>61</v>
      </c>
      <c r="E33" s="119"/>
      <c r="F33" s="536"/>
      <c r="M33" s="1454" t="s">
        <v>543</v>
      </c>
    </row>
    <row r="34" spans="2:13">
      <c r="M34" s="1454"/>
    </row>
    <row r="35" spans="2:13">
      <c r="B35" s="571" t="s">
        <v>494</v>
      </c>
      <c r="C35" s="572"/>
      <c r="D35" s="573"/>
      <c r="E35" s="574"/>
      <c r="F35" s="573"/>
      <c r="G35" s="575"/>
      <c r="H35" s="575"/>
      <c r="I35" s="575"/>
      <c r="J35" s="576"/>
      <c r="M35" s="1454"/>
    </row>
    <row r="36" spans="2:13" s="544" customFormat="1">
      <c r="B36" s="550" t="s">
        <v>482</v>
      </c>
      <c r="C36" s="551" t="s">
        <v>490</v>
      </c>
      <c r="D36" s="552" t="s">
        <v>480</v>
      </c>
      <c r="F36" s="553">
        <f ca="1">(F37+F38+F61)*1000</f>
        <v>727.0081531535219</v>
      </c>
      <c r="G36" s="553">
        <f ca="1">(G37+G38+G61)*1000</f>
        <v>660.91650286683796</v>
      </c>
      <c r="H36" s="553">
        <f ca="1">(H37+H38+H61)*1000</f>
        <v>727.0081531535219</v>
      </c>
      <c r="I36" s="553">
        <f ca="1">(I37+I38+I61)*1000</f>
        <v>727.0081531535219</v>
      </c>
      <c r="J36" s="554">
        <f ca="1">(J37+J38+J61)*1000</f>
        <v>793.09980344020573</v>
      </c>
      <c r="M36" s="1454"/>
    </row>
    <row r="37" spans="2:13" ht="28">
      <c r="B37" s="555" t="s">
        <v>463</v>
      </c>
      <c r="C37" s="1"/>
      <c r="D37" s="536"/>
      <c r="E37" s="119"/>
      <c r="F37" s="556">
        <f ca="1">F9</f>
        <v>0.55000000000000004</v>
      </c>
      <c r="G37" s="556">
        <f ca="1">G9</f>
        <v>0.5</v>
      </c>
      <c r="H37" s="556">
        <f ca="1">H9</f>
        <v>0.55000000000000004</v>
      </c>
      <c r="I37" s="556">
        <f ca="1">I9</f>
        <v>0.55000000000000004</v>
      </c>
      <c r="J37" s="557">
        <f ca="1">J9</f>
        <v>0.60000000000000009</v>
      </c>
      <c r="M37" s="696" t="s">
        <v>544</v>
      </c>
    </row>
    <row r="38" spans="2:13" ht="14">
      <c r="B38" s="555" t="s">
        <v>492</v>
      </c>
      <c r="C38" s="1"/>
      <c r="D38" s="536"/>
      <c r="E38" s="119"/>
      <c r="F38" s="556">
        <f ca="1">F17/1000*F39</f>
        <v>0.17700815315352184</v>
      </c>
      <c r="G38" s="556">
        <f ca="1">G17/1000*G39</f>
        <v>0.16091650286683801</v>
      </c>
      <c r="H38" s="556">
        <f ca="1">H17/1000*H39</f>
        <v>0.17700815315352184</v>
      </c>
      <c r="I38" s="556">
        <f ca="1">I17/1000*I39</f>
        <v>0.17700815315352184</v>
      </c>
      <c r="J38" s="557">
        <f ca="1">J17/1000*J39</f>
        <v>0.19309980344020566</v>
      </c>
      <c r="M38" s="697" t="s">
        <v>545</v>
      </c>
    </row>
    <row r="39" spans="2:13" s="544" customFormat="1">
      <c r="B39" s="558" t="s">
        <v>491</v>
      </c>
      <c r="C39" s="559"/>
      <c r="D39" s="560"/>
      <c r="E39" s="561"/>
      <c r="F39" s="562">
        <f ca="1">SUM(F40:F60)</f>
        <v>16.091650286683802</v>
      </c>
      <c r="G39" s="562">
        <f ca="1">SUM(G40:G60)</f>
        <v>16.091650286683802</v>
      </c>
      <c r="H39" s="562">
        <f ca="1">SUM(H40:H60)</f>
        <v>16.091650286683802</v>
      </c>
      <c r="I39" s="562">
        <f ca="1">SUM(I40:I60)</f>
        <v>16.091650286683802</v>
      </c>
      <c r="J39" s="563">
        <f ca="1">SUM(J40:J60)</f>
        <v>16.091650286683802</v>
      </c>
    </row>
    <row r="40" spans="2:13" outlineLevel="1">
      <c r="B40" s="691" t="s">
        <v>529</v>
      </c>
      <c r="C40" s="1"/>
      <c r="D40" s="565">
        <v>1</v>
      </c>
      <c r="F40" s="678">
        <f ca="1">(1+F$20)^($D40-1)/(1+F$21)^$D40</f>
        <v>0.96153846153846145</v>
      </c>
      <c r="G40" s="676">
        <f ca="1">(1+G$20)^($D40-1)/(1+G$21)^$D40</f>
        <v>0.96153846153846145</v>
      </c>
      <c r="H40" s="676">
        <f ca="1">(1+H$20)^($D40-1)/(1+H$21)^$D40</f>
        <v>0.96153846153846145</v>
      </c>
      <c r="I40" s="676">
        <f ca="1">(1+I$20)^($D40-1)/(1+I$21)^$D40</f>
        <v>0.96153846153846145</v>
      </c>
      <c r="J40" s="677">
        <f ca="1">(1+J$20)^($D40-1)/(1+J$21)^$D40</f>
        <v>0.96153846153846145</v>
      </c>
    </row>
    <row r="41" spans="2:13" outlineLevel="1">
      <c r="B41" s="564"/>
      <c r="C41" s="1"/>
      <c r="D41" s="565">
        <f>D40+1</f>
        <v>2</v>
      </c>
      <c r="F41" s="678">
        <f t="shared" ref="F41:F59" ca="1" si="3">(1+F$20)^($D41-1)/(1+F$21)^$D41</f>
        <v>0.94304733727810641</v>
      </c>
      <c r="G41" s="676">
        <f t="shared" ref="G41:J59" ca="1" si="4">(1+G$20)^($D41-1)/(1+G$21)^$D41</f>
        <v>0.94304733727810641</v>
      </c>
      <c r="H41" s="676">
        <f t="shared" ca="1" si="4"/>
        <v>0.94304733727810641</v>
      </c>
      <c r="I41" s="676">
        <f t="shared" ca="1" si="4"/>
        <v>0.94304733727810641</v>
      </c>
      <c r="J41" s="677">
        <f t="shared" ca="1" si="4"/>
        <v>0.94304733727810641</v>
      </c>
    </row>
    <row r="42" spans="2:13" outlineLevel="1">
      <c r="B42" s="564"/>
      <c r="C42" s="1"/>
      <c r="D42" s="565">
        <f t="shared" ref="D42:D59" si="5">D41+1</f>
        <v>3</v>
      </c>
      <c r="F42" s="678">
        <f t="shared" ca="1" si="3"/>
        <v>0.92491181156121982</v>
      </c>
      <c r="G42" s="676">
        <f t="shared" ca="1" si="4"/>
        <v>0.92491181156121982</v>
      </c>
      <c r="H42" s="676">
        <f t="shared" ca="1" si="4"/>
        <v>0.92491181156121982</v>
      </c>
      <c r="I42" s="676">
        <f t="shared" ca="1" si="4"/>
        <v>0.92491181156121982</v>
      </c>
      <c r="J42" s="677">
        <f t="shared" ca="1" si="4"/>
        <v>0.92491181156121982</v>
      </c>
    </row>
    <row r="43" spans="2:13" outlineLevel="1">
      <c r="B43" s="564"/>
      <c r="C43" s="1"/>
      <c r="D43" s="565">
        <f t="shared" si="5"/>
        <v>4</v>
      </c>
      <c r="F43" s="678">
        <f t="shared" ca="1" si="3"/>
        <v>0.90712504595427312</v>
      </c>
      <c r="G43" s="676">
        <f t="shared" ca="1" si="4"/>
        <v>0.90712504595427312</v>
      </c>
      <c r="H43" s="676">
        <f t="shared" ca="1" si="4"/>
        <v>0.90712504595427312</v>
      </c>
      <c r="I43" s="676">
        <f t="shared" ca="1" si="4"/>
        <v>0.90712504595427312</v>
      </c>
      <c r="J43" s="677">
        <f t="shared" ca="1" si="4"/>
        <v>0.90712504595427312</v>
      </c>
    </row>
    <row r="44" spans="2:13" outlineLevel="1">
      <c r="B44" s="564"/>
      <c r="C44" s="1"/>
      <c r="D44" s="565">
        <f t="shared" si="5"/>
        <v>5</v>
      </c>
      <c r="F44" s="678">
        <f t="shared" ca="1" si="3"/>
        <v>0.88968033353207543</v>
      </c>
      <c r="G44" s="676">
        <f t="shared" ca="1" si="4"/>
        <v>0.88968033353207543</v>
      </c>
      <c r="H44" s="676">
        <f t="shared" ca="1" si="4"/>
        <v>0.88968033353207543</v>
      </c>
      <c r="I44" s="676">
        <f t="shared" ca="1" si="4"/>
        <v>0.88968033353207543</v>
      </c>
      <c r="J44" s="677">
        <f t="shared" ca="1" si="4"/>
        <v>0.88968033353207543</v>
      </c>
    </row>
    <row r="45" spans="2:13" outlineLevel="1">
      <c r="B45" s="564"/>
      <c r="C45" s="1"/>
      <c r="D45" s="565">
        <f t="shared" si="5"/>
        <v>6</v>
      </c>
      <c r="F45" s="678">
        <f t="shared" ca="1" si="3"/>
        <v>0.8725710963487664</v>
      </c>
      <c r="G45" s="676">
        <f t="shared" ca="1" si="4"/>
        <v>0.8725710963487664</v>
      </c>
      <c r="H45" s="676">
        <f t="shared" ca="1" si="4"/>
        <v>0.8725710963487664</v>
      </c>
      <c r="I45" s="676">
        <f t="shared" ca="1" si="4"/>
        <v>0.8725710963487664</v>
      </c>
      <c r="J45" s="677">
        <f t="shared" ca="1" si="4"/>
        <v>0.8725710963487664</v>
      </c>
    </row>
    <row r="46" spans="2:13" outlineLevel="1">
      <c r="B46" s="564"/>
      <c r="C46" s="1"/>
      <c r="D46" s="565">
        <f t="shared" si="5"/>
        <v>7</v>
      </c>
      <c r="F46" s="678">
        <f t="shared" ca="1" si="3"/>
        <v>0.8557908829574441</v>
      </c>
      <c r="G46" s="676">
        <f t="shared" ca="1" si="4"/>
        <v>0.8557908829574441</v>
      </c>
      <c r="H46" s="676">
        <f t="shared" ca="1" si="4"/>
        <v>0.8557908829574441</v>
      </c>
      <c r="I46" s="676">
        <f t="shared" ca="1" si="4"/>
        <v>0.8557908829574441</v>
      </c>
      <c r="J46" s="677">
        <f t="shared" ca="1" si="4"/>
        <v>0.8557908829574441</v>
      </c>
    </row>
    <row r="47" spans="2:13" outlineLevel="1">
      <c r="B47" s="564"/>
      <c r="C47" s="1"/>
      <c r="D47" s="565">
        <f t="shared" si="5"/>
        <v>8</v>
      </c>
      <c r="F47" s="678">
        <f t="shared" ca="1" si="3"/>
        <v>0.83933336597749286</v>
      </c>
      <c r="G47" s="676">
        <f t="shared" ca="1" si="4"/>
        <v>0.83933336597749286</v>
      </c>
      <c r="H47" s="676">
        <f t="shared" ca="1" si="4"/>
        <v>0.83933336597749286</v>
      </c>
      <c r="I47" s="676">
        <f t="shared" ca="1" si="4"/>
        <v>0.83933336597749286</v>
      </c>
      <c r="J47" s="677">
        <f t="shared" ca="1" si="4"/>
        <v>0.83933336597749286</v>
      </c>
    </row>
    <row r="48" spans="2:13" outlineLevel="1">
      <c r="B48" s="564"/>
      <c r="C48" s="1"/>
      <c r="D48" s="565">
        <f t="shared" si="5"/>
        <v>9</v>
      </c>
      <c r="F48" s="678">
        <f t="shared" ca="1" si="3"/>
        <v>0.82319233970869499</v>
      </c>
      <c r="G48" s="676">
        <f t="shared" ca="1" si="4"/>
        <v>0.82319233970869499</v>
      </c>
      <c r="H48" s="676">
        <f t="shared" ca="1" si="4"/>
        <v>0.82319233970869499</v>
      </c>
      <c r="I48" s="676">
        <f t="shared" ca="1" si="4"/>
        <v>0.82319233970869499</v>
      </c>
      <c r="J48" s="677">
        <f t="shared" ca="1" si="4"/>
        <v>0.82319233970869499</v>
      </c>
    </row>
    <row r="49" spans="2:12" outlineLevel="1">
      <c r="B49" s="564"/>
      <c r="C49" s="1"/>
      <c r="D49" s="565">
        <f t="shared" si="5"/>
        <v>10</v>
      </c>
      <c r="F49" s="678">
        <f t="shared" ca="1" si="3"/>
        <v>0.80736171779122001</v>
      </c>
      <c r="G49" s="676">
        <f t="shared" ca="1" si="4"/>
        <v>0.80736171779122001</v>
      </c>
      <c r="H49" s="676">
        <f t="shared" ca="1" si="4"/>
        <v>0.80736171779122001</v>
      </c>
      <c r="I49" s="676">
        <f t="shared" ca="1" si="4"/>
        <v>0.80736171779122001</v>
      </c>
      <c r="J49" s="677">
        <f t="shared" ca="1" si="4"/>
        <v>0.80736171779122001</v>
      </c>
    </row>
    <row r="50" spans="2:12" outlineLevel="1">
      <c r="B50" s="564"/>
      <c r="C50" s="1"/>
      <c r="D50" s="565">
        <f t="shared" si="5"/>
        <v>11</v>
      </c>
      <c r="F50" s="678">
        <f t="shared" ca="1" si="3"/>
        <v>0.79183553091061976</v>
      </c>
      <c r="G50" s="676">
        <f t="shared" ca="1" si="4"/>
        <v>0.79183553091061976</v>
      </c>
      <c r="H50" s="676">
        <f t="shared" ca="1" si="4"/>
        <v>0.79183553091061976</v>
      </c>
      <c r="I50" s="676">
        <f t="shared" ca="1" si="4"/>
        <v>0.79183553091061976</v>
      </c>
      <c r="J50" s="677">
        <f t="shared" ca="1" si="4"/>
        <v>0.79183553091061976</v>
      </c>
    </row>
    <row r="51" spans="2:12" outlineLevel="1">
      <c r="B51" s="564"/>
      <c r="C51" s="1"/>
      <c r="D51" s="565">
        <f t="shared" si="5"/>
        <v>12</v>
      </c>
      <c r="F51" s="678">
        <f t="shared" ca="1" si="3"/>
        <v>0.77660792454695371</v>
      </c>
      <c r="G51" s="676">
        <f t="shared" ca="1" si="4"/>
        <v>0.77660792454695371</v>
      </c>
      <c r="H51" s="676">
        <f t="shared" ca="1" si="4"/>
        <v>0.77660792454695371</v>
      </c>
      <c r="I51" s="676">
        <f t="shared" ca="1" si="4"/>
        <v>0.77660792454695371</v>
      </c>
      <c r="J51" s="677">
        <f t="shared" ca="1" si="4"/>
        <v>0.77660792454695371</v>
      </c>
    </row>
    <row r="52" spans="2:12" outlineLevel="1">
      <c r="B52" s="564"/>
      <c r="C52" s="1"/>
      <c r="D52" s="565">
        <f t="shared" si="5"/>
        <v>13</v>
      </c>
      <c r="F52" s="678">
        <f t="shared" ca="1" si="3"/>
        <v>0.76167315676720471</v>
      </c>
      <c r="G52" s="676">
        <f t="shared" ca="1" si="4"/>
        <v>0.76167315676720471</v>
      </c>
      <c r="H52" s="676">
        <f t="shared" ca="1" si="4"/>
        <v>0.76167315676720471</v>
      </c>
      <c r="I52" s="676">
        <f t="shared" ca="1" si="4"/>
        <v>0.76167315676720471</v>
      </c>
      <c r="J52" s="677">
        <f t="shared" ca="1" si="4"/>
        <v>0.76167315676720471</v>
      </c>
    </row>
    <row r="53" spans="2:12" outlineLevel="1">
      <c r="B53" s="564"/>
      <c r="C53" s="1"/>
      <c r="D53" s="565">
        <f t="shared" si="5"/>
        <v>14</v>
      </c>
      <c r="F53" s="678">
        <f t="shared" ca="1" si="3"/>
        <v>0.74702559606014296</v>
      </c>
      <c r="G53" s="676">
        <f t="shared" ca="1" si="4"/>
        <v>0.74702559606014296</v>
      </c>
      <c r="H53" s="676">
        <f t="shared" ca="1" si="4"/>
        <v>0.74702559606014296</v>
      </c>
      <c r="I53" s="676">
        <f t="shared" ca="1" si="4"/>
        <v>0.74702559606014296</v>
      </c>
      <c r="J53" s="677">
        <f t="shared" ca="1" si="4"/>
        <v>0.74702559606014296</v>
      </c>
    </row>
    <row r="54" spans="2:12" outlineLevel="1">
      <c r="B54" s="564"/>
      <c r="C54" s="1"/>
      <c r="D54" s="565">
        <f t="shared" si="5"/>
        <v>15</v>
      </c>
      <c r="F54" s="678">
        <f t="shared" ca="1" si="3"/>
        <v>0.73265971921283268</v>
      </c>
      <c r="G54" s="676">
        <f t="shared" ca="1" si="4"/>
        <v>0.73265971921283268</v>
      </c>
      <c r="H54" s="676">
        <f t="shared" ca="1" si="4"/>
        <v>0.73265971921283268</v>
      </c>
      <c r="I54" s="676">
        <f t="shared" ca="1" si="4"/>
        <v>0.73265971921283268</v>
      </c>
      <c r="J54" s="677">
        <f t="shared" ca="1" si="4"/>
        <v>0.73265971921283268</v>
      </c>
    </row>
    <row r="55" spans="2:12" outlineLevel="1">
      <c r="B55" s="564"/>
      <c r="C55" s="1"/>
      <c r="D55" s="565">
        <f t="shared" si="5"/>
        <v>16</v>
      </c>
      <c r="F55" s="678">
        <f t="shared" ca="1" si="3"/>
        <v>0.71857010922797016</v>
      </c>
      <c r="G55" s="676">
        <f t="shared" ca="1" si="4"/>
        <v>0.71857010922797016</v>
      </c>
      <c r="H55" s="676">
        <f t="shared" ca="1" si="4"/>
        <v>0.71857010922797016</v>
      </c>
      <c r="I55" s="676">
        <f t="shared" ca="1" si="4"/>
        <v>0.71857010922797016</v>
      </c>
      <c r="J55" s="677">
        <f t="shared" ca="1" si="4"/>
        <v>0.71857010922797016</v>
      </c>
    </row>
    <row r="56" spans="2:12" outlineLevel="1">
      <c r="B56" s="564"/>
      <c r="C56" s="1"/>
      <c r="D56" s="565">
        <f t="shared" si="5"/>
        <v>17</v>
      </c>
      <c r="F56" s="678">
        <f t="shared" ca="1" si="3"/>
        <v>0.70475145328127853</v>
      </c>
      <c r="G56" s="676">
        <f t="shared" ca="1" si="4"/>
        <v>0.70475145328127853</v>
      </c>
      <c r="H56" s="676">
        <f t="shared" ca="1" si="4"/>
        <v>0.70475145328127853</v>
      </c>
      <c r="I56" s="676">
        <f t="shared" ca="1" si="4"/>
        <v>0.70475145328127853</v>
      </c>
      <c r="J56" s="677">
        <f t="shared" ca="1" si="4"/>
        <v>0.70475145328127853</v>
      </c>
    </row>
    <row r="57" spans="2:12" outlineLevel="1">
      <c r="B57" s="564"/>
      <c r="C57" s="1"/>
      <c r="D57" s="565">
        <f t="shared" si="5"/>
        <v>18</v>
      </c>
      <c r="F57" s="678">
        <f t="shared" ca="1" si="3"/>
        <v>0.69119854071817699</v>
      </c>
      <c r="G57" s="676">
        <f t="shared" ca="1" si="4"/>
        <v>0.69119854071817699</v>
      </c>
      <c r="H57" s="676">
        <f t="shared" ca="1" si="4"/>
        <v>0.69119854071817699</v>
      </c>
      <c r="I57" s="676">
        <f t="shared" ca="1" si="4"/>
        <v>0.69119854071817699</v>
      </c>
      <c r="J57" s="677">
        <f t="shared" ca="1" si="4"/>
        <v>0.69119854071817699</v>
      </c>
    </row>
    <row r="58" spans="2:12" outlineLevel="1">
      <c r="B58" s="564"/>
      <c r="C58" s="1"/>
      <c r="D58" s="565">
        <f t="shared" si="5"/>
        <v>19</v>
      </c>
      <c r="F58" s="678">
        <f t="shared" ca="1" si="3"/>
        <v>0.67790626108898122</v>
      </c>
      <c r="G58" s="676">
        <f t="shared" ca="1" si="4"/>
        <v>0.67790626108898122</v>
      </c>
      <c r="H58" s="676">
        <f t="shared" ca="1" si="4"/>
        <v>0.67790626108898122</v>
      </c>
      <c r="I58" s="676">
        <f t="shared" ca="1" si="4"/>
        <v>0.67790626108898122</v>
      </c>
      <c r="J58" s="677">
        <f t="shared" ca="1" si="4"/>
        <v>0.67790626108898122</v>
      </c>
    </row>
    <row r="59" spans="2:12" outlineLevel="1">
      <c r="B59" s="564"/>
      <c r="C59" s="1"/>
      <c r="D59" s="565">
        <f t="shared" si="5"/>
        <v>20</v>
      </c>
      <c r="F59" s="678">
        <f t="shared" ca="1" si="3"/>
        <v>0.6648696022218854</v>
      </c>
      <c r="G59" s="676">
        <f t="shared" ca="1" si="4"/>
        <v>0.6648696022218854</v>
      </c>
      <c r="H59" s="676">
        <f t="shared" ca="1" si="4"/>
        <v>0.6648696022218854</v>
      </c>
      <c r="I59" s="676">
        <f t="shared" ca="1" si="4"/>
        <v>0.6648696022218854</v>
      </c>
      <c r="J59" s="677">
        <f t="shared" ca="1" si="4"/>
        <v>0.6648696022218854</v>
      </c>
    </row>
    <row r="60" spans="2:12" ht="2.25" customHeight="1" outlineLevel="1">
      <c r="B60" s="564"/>
      <c r="C60" s="1"/>
      <c r="D60" s="565"/>
      <c r="F60" s="566"/>
      <c r="G60" s="566"/>
      <c r="H60" s="566"/>
      <c r="I60" s="566"/>
      <c r="J60" s="567"/>
    </row>
    <row r="61" spans="2:12" outlineLevel="1">
      <c r="B61" s="564"/>
      <c r="C61" s="1"/>
      <c r="D61" s="565" t="s">
        <v>479</v>
      </c>
      <c r="F61" s="566">
        <f ca="1">F26*1000/(1+F$21)^D59</f>
        <v>0</v>
      </c>
      <c r="G61" s="566">
        <f ca="1">G26*1000/(1+G$21)^E59</f>
        <v>0</v>
      </c>
      <c r="H61" s="566">
        <f ca="1">H26*1000/(1+H$21)^E59</f>
        <v>0</v>
      </c>
      <c r="I61" s="566">
        <f ca="1">I26*1000/(1+I$21)^F59</f>
        <v>0</v>
      </c>
      <c r="J61" s="567">
        <f ca="1">J26*1000/(1+J$21)^G59</f>
        <v>0</v>
      </c>
    </row>
    <row r="62" spans="2:12" ht="3.75" customHeight="1" outlineLevel="1">
      <c r="B62" s="564"/>
      <c r="C62" s="1"/>
      <c r="J62" s="568"/>
    </row>
    <row r="63" spans="2:12" s="544" customFormat="1">
      <c r="B63" s="550" t="s">
        <v>481</v>
      </c>
      <c r="C63" s="551" t="s">
        <v>177</v>
      </c>
      <c r="D63" s="552" t="s">
        <v>480</v>
      </c>
      <c r="F63" s="569">
        <f ca="1">F$13*F64</f>
        <v>31.826325416519424</v>
      </c>
      <c r="G63" s="569">
        <f ca="1">G$13*SUM(G65:G85)</f>
        <v>28.981984012114708</v>
      </c>
      <c r="H63" s="569">
        <f ca="1">H$13*SUM(H65:H85)</f>
        <v>26.208026829088837</v>
      </c>
      <c r="I63" s="569">
        <f ca="1">I$13*SUM(I65:I85)</f>
        <v>26.355549638952279</v>
      </c>
      <c r="J63" s="570">
        <f ca="1">J$13*SUM(J65:J85)</f>
        <v>16.472218524345177</v>
      </c>
    </row>
    <row r="64" spans="2:12" s="544" customFormat="1">
      <c r="B64" s="558" t="s">
        <v>493</v>
      </c>
      <c r="C64" s="559"/>
      <c r="D64" s="560"/>
      <c r="E64" s="561"/>
      <c r="F64" s="562">
        <f ca="1">SUM(F65:F85)</f>
        <v>14.734409915055288</v>
      </c>
      <c r="G64" s="562">
        <f ca="1">SUM(G65:G85)</f>
        <v>14.908427989770939</v>
      </c>
      <c r="H64" s="562">
        <f ca="1">SUM(H65:H85)</f>
        <v>15.166682192759744</v>
      </c>
      <c r="I64" s="562">
        <f ca="1">SUM(I65:I85)</f>
        <v>15.252054189208495</v>
      </c>
      <c r="J64" s="563">
        <f ca="1">SUM(J65:J85)</f>
        <v>15.252054189208495</v>
      </c>
      <c r="L64" s="562">
        <f ca="1">SUM(L65:L85)</f>
        <v>16.413483292417503</v>
      </c>
    </row>
    <row r="65" spans="2:12" s="548" customFormat="1" ht="11.25" hidden="1" customHeight="1" outlineLevel="1">
      <c r="B65" s="577"/>
      <c r="D65" s="578">
        <v>1</v>
      </c>
      <c r="F65" s="817">
        <f ca="1">((1+F$23)/(1+F$22))^$D65</f>
        <v>0.96988743227224261</v>
      </c>
      <c r="G65" s="817">
        <f t="shared" ref="G65:J84" ca="1" si="6">((1+G$23)/(1+G$22))^$D65</f>
        <v>0.97108562451352998</v>
      </c>
      <c r="H65" s="817">
        <f t="shared" ca="1" si="6"/>
        <v>0.97283184555556024</v>
      </c>
      <c r="I65" s="817">
        <f t="shared" ca="1" si="6"/>
        <v>0.97340092593643668</v>
      </c>
      <c r="J65" s="818">
        <f t="shared" ca="1" si="6"/>
        <v>0.97340092593643668</v>
      </c>
      <c r="L65" s="579">
        <f ca="1">1/(1+F$22)^$D65</f>
        <v>0.98076923076923084</v>
      </c>
    </row>
    <row r="66" spans="2:12" s="548" customFormat="1" ht="11.25" hidden="1" customHeight="1" outlineLevel="1">
      <c r="B66" s="577"/>
      <c r="D66" s="578">
        <f>D65+1</f>
        <v>2</v>
      </c>
      <c r="F66" s="817">
        <f t="shared" ref="F66:F81" ca="1" si="7">((1+F$23)/(1+F$22))^$D66</f>
        <v>0.94068163127964399</v>
      </c>
      <c r="G66" s="817">
        <f t="shared" ca="1" si="6"/>
        <v>0.94300729013683249</v>
      </c>
      <c r="H66" s="817">
        <f t="shared" ca="1" si="6"/>
        <v>0.94640179972703742</v>
      </c>
      <c r="I66" s="817">
        <f t="shared" ca="1" si="6"/>
        <v>0.94750936261391228</v>
      </c>
      <c r="J66" s="818">
        <f t="shared" ca="1" si="6"/>
        <v>0.94750936261391228</v>
      </c>
      <c r="L66" s="579">
        <f t="shared" ref="L66:L84" ca="1" si="8">1/(1+F$22)^$D66</f>
        <v>0.9619082840236689</v>
      </c>
    </row>
    <row r="67" spans="2:12" s="548" customFormat="1" ht="11.25" hidden="1" customHeight="1" outlineLevel="1">
      <c r="B67" s="577"/>
      <c r="D67" s="578">
        <f t="shared" ref="D67:D84" si="9">D66+1</f>
        <v>3</v>
      </c>
      <c r="F67" s="817">
        <f t="shared" ca="1" si="7"/>
        <v>0.91235529194747844</v>
      </c>
      <c r="G67" s="817">
        <f t="shared" ca="1" si="6"/>
        <v>0.9157408232633375</v>
      </c>
      <c r="H67" s="817">
        <f t="shared" ca="1" si="6"/>
        <v>0.92068980946555756</v>
      </c>
      <c r="I67" s="817">
        <f t="shared" ca="1" si="6"/>
        <v>0.92230649090182515</v>
      </c>
      <c r="J67" s="818">
        <f t="shared" ca="1" si="6"/>
        <v>0.92230649090182515</v>
      </c>
      <c r="L67" s="579">
        <f t="shared" ca="1" si="8"/>
        <v>0.94341004779244442</v>
      </c>
    </row>
    <row r="68" spans="2:12" s="548" customFormat="1" ht="11.25" hidden="1" customHeight="1" outlineLevel="1">
      <c r="B68" s="577"/>
      <c r="D68" s="578">
        <f t="shared" si="9"/>
        <v>4</v>
      </c>
      <c r="F68" s="817">
        <f t="shared" ca="1" si="7"/>
        <v>0.88488193142693206</v>
      </c>
      <c r="G68" s="817">
        <f t="shared" ca="1" si="6"/>
        <v>0.88926274925121218</v>
      </c>
      <c r="H68" s="817">
        <f t="shared" ca="1" si="6"/>
        <v>0.89567636652657545</v>
      </c>
      <c r="I68" s="817">
        <f t="shared" ca="1" si="6"/>
        <v>0.89777399224102228</v>
      </c>
      <c r="J68" s="818">
        <f t="shared" ca="1" si="6"/>
        <v>0.89777399224102228</v>
      </c>
      <c r="L68" s="579">
        <f t="shared" ca="1" si="8"/>
        <v>0.9252675468733591</v>
      </c>
    </row>
    <row r="69" spans="2:12" s="548" customFormat="1" ht="11.25" hidden="1" customHeight="1" outlineLevel="1">
      <c r="B69" s="577"/>
      <c r="D69" s="578">
        <f t="shared" si="9"/>
        <v>5</v>
      </c>
      <c r="F69" s="817">
        <f t="shared" ca="1" si="7"/>
        <v>0.85823586433576982</v>
      </c>
      <c r="G69" s="817">
        <f t="shared" ca="1" si="6"/>
        <v>0.863550272213232</v>
      </c>
      <c r="H69" s="817">
        <f t="shared" ca="1" si="6"/>
        <v>0.8713424926685468</v>
      </c>
      <c r="I69" s="817">
        <f t="shared" ca="1" si="6"/>
        <v>0.8738940353290624</v>
      </c>
      <c r="J69" s="818">
        <f t="shared" ca="1" si="6"/>
        <v>0.8738940353290624</v>
      </c>
      <c r="L69" s="579">
        <f t="shared" ca="1" si="8"/>
        <v>0.90747394020271754</v>
      </c>
    </row>
    <row r="70" spans="2:12" s="548" customFormat="1" ht="11.25" hidden="1" customHeight="1" outlineLevel="1">
      <c r="B70" s="577"/>
      <c r="D70" s="578">
        <f t="shared" si="9"/>
        <v>6</v>
      </c>
      <c r="F70" s="817">
        <f t="shared" ca="1" si="7"/>
        <v>0.8323921787445685</v>
      </c>
      <c r="G70" s="817">
        <f t="shared" ca="1" si="6"/>
        <v>0.83858125539101513</v>
      </c>
      <c r="H70" s="817">
        <f t="shared" ca="1" si="6"/>
        <v>0.84766972525372464</v>
      </c>
      <c r="I70" s="817">
        <f t="shared" ca="1" si="6"/>
        <v>0.8506492631596384</v>
      </c>
      <c r="J70" s="818">
        <f t="shared" ca="1" si="6"/>
        <v>0.8506492631596384</v>
      </c>
      <c r="L70" s="579">
        <f t="shared" ca="1" si="8"/>
        <v>0.89002251827574252</v>
      </c>
    </row>
    <row r="71" spans="2:12" s="548" customFormat="1" ht="11.25" hidden="1" customHeight="1" outlineLevel="1">
      <c r="B71" s="577"/>
      <c r="D71" s="578">
        <f t="shared" si="9"/>
        <v>7</v>
      </c>
      <c r="F71" s="817">
        <f t="shared" ca="1" si="7"/>
        <v>0.80732671288606717</v>
      </c>
      <c r="G71" s="817">
        <f t="shared" ca="1" si="6"/>
        <v>0.81433420209672391</v>
      </c>
      <c r="H71" s="817">
        <f t="shared" ca="1" si="6"/>
        <v>0.82464010324015569</v>
      </c>
      <c r="I71" s="817">
        <f t="shared" ca="1" si="6"/>
        <v>0.82802278040673971</v>
      </c>
      <c r="J71" s="818">
        <f t="shared" ca="1" si="6"/>
        <v>0.82802278040673971</v>
      </c>
      <c r="L71" s="579">
        <f t="shared" ca="1" si="8"/>
        <v>0.87290670061659359</v>
      </c>
    </row>
    <row r="72" spans="2:12" s="548" customFormat="1" ht="11.25" hidden="1" customHeight="1" outlineLevel="1">
      <c r="B72" s="577"/>
      <c r="D72" s="578">
        <f t="shared" si="9"/>
        <v>8</v>
      </c>
      <c r="F72" s="817">
        <f t="shared" ca="1" si="7"/>
        <v>0.78301603256585772</v>
      </c>
      <c r="G72" s="817">
        <f t="shared" ca="1" si="6"/>
        <v>0.79078823720582425</v>
      </c>
      <c r="H72" s="817">
        <f t="shared" ca="1" si="6"/>
        <v>0.80223615355424838</v>
      </c>
      <c r="I72" s="817">
        <f t="shared" ca="1" si="6"/>
        <v>0.80599814114438317</v>
      </c>
      <c r="J72" s="818">
        <f t="shared" ca="1" si="6"/>
        <v>0.80599814114438317</v>
      </c>
      <c r="L72" s="579">
        <f t="shared" ca="1" si="8"/>
        <v>0.85612003329704389</v>
      </c>
    </row>
    <row r="73" spans="2:12" s="548" customFormat="1" ht="11.25" hidden="1" customHeight="1" outlineLevel="1">
      <c r="B73" s="577"/>
      <c r="D73" s="578">
        <f t="shared" si="9"/>
        <v>9</v>
      </c>
      <c r="F73" s="817">
        <f t="shared" ca="1" si="7"/>
        <v>0.7594374092532985</v>
      </c>
      <c r="G73" s="817">
        <f t="shared" ca="1" si="6"/>
        <v>0.76792308918497132</v>
      </c>
      <c r="H73" s="817">
        <f t="shared" ca="1" si="6"/>
        <v>0.7804408778335733</v>
      </c>
      <c r="I73" s="817">
        <f t="shared" ca="1" si="6"/>
        <v>0.7845593368929894</v>
      </c>
      <c r="J73" s="818">
        <f t="shared" ca="1" si="6"/>
        <v>0.7845593368929894</v>
      </c>
      <c r="L73" s="579">
        <f t="shared" ca="1" si="8"/>
        <v>0.83965618650286999</v>
      </c>
    </row>
    <row r="74" spans="2:12" s="548" customFormat="1" ht="11.25" hidden="1" customHeight="1" outlineLevel="1">
      <c r="B74" s="577"/>
      <c r="D74" s="578">
        <f t="shared" si="9"/>
        <v>10</v>
      </c>
      <c r="F74" s="817">
        <f t="shared" ca="1" si="7"/>
        <v>0.73656879883216586</v>
      </c>
      <c r="G74" s="817">
        <f t="shared" ca="1" si="6"/>
        <v>0.74571907263954706</v>
      </c>
      <c r="H74" s="817">
        <f t="shared" ca="1" si="6"/>
        <v>0.75923773952983664</v>
      </c>
      <c r="I74" s="817">
        <f t="shared" ca="1" si="6"/>
        <v>0.76369078498371257</v>
      </c>
      <c r="J74" s="818">
        <f t="shared" ca="1" si="6"/>
        <v>0.76369078498371257</v>
      </c>
      <c r="L74" s="579">
        <f t="shared" ca="1" si="8"/>
        <v>0.82350895214704567</v>
      </c>
    </row>
    <row r="75" spans="2:12" s="548" customFormat="1" ht="11.25" hidden="1" customHeight="1" outlineLevel="1">
      <c r="B75" s="577"/>
      <c r="D75" s="578">
        <f t="shared" si="9"/>
        <v>11</v>
      </c>
      <c r="F75" s="817">
        <f t="shared" ca="1" si="7"/>
        <v>0.7143888209911794</v>
      </c>
      <c r="G75" s="817">
        <f t="shared" ca="1" si="6"/>
        <v>0.72415707136582497</v>
      </c>
      <c r="H75" s="817">
        <f t="shared" ca="1" si="6"/>
        <v>0.73861065136224269</v>
      </c>
      <c r="I75" s="817">
        <f t="shared" ca="1" si="6"/>
        <v>0.74337731723227007</v>
      </c>
      <c r="J75" s="818">
        <f t="shared" ca="1" si="6"/>
        <v>0.74337731723227007</v>
      </c>
      <c r="L75" s="579">
        <f t="shared" ca="1" si="8"/>
        <v>0.80767224152883321</v>
      </c>
    </row>
    <row r="76" spans="2:12" s="548" customFormat="1" ht="11.25" hidden="1" customHeight="1" outlineLevel="1">
      <c r="B76" s="577"/>
      <c r="D76" s="578">
        <f t="shared" si="9"/>
        <v>12</v>
      </c>
      <c r="F76" s="817">
        <f t="shared" ca="1" si="7"/>
        <v>0.69287673923512971</v>
      </c>
      <c r="G76" s="817">
        <f t="shared" ca="1" si="6"/>
        <v>0.70321852189317102</v>
      </c>
      <c r="H76" s="817">
        <f t="shared" ca="1" si="6"/>
        <v>0.71854396311172508</v>
      </c>
      <c r="I76" s="817">
        <f t="shared" ca="1" si="6"/>
        <v>0.72360416891403578</v>
      </c>
      <c r="J76" s="818">
        <f t="shared" ca="1" si="6"/>
        <v>0.72360416891403578</v>
      </c>
      <c r="L76" s="579">
        <f t="shared" ca="1" si="8"/>
        <v>0.79214008303789429</v>
      </c>
    </row>
    <row r="77" spans="2:12" s="548" customFormat="1" ht="11.25" hidden="1" customHeight="1" outlineLevel="1">
      <c r="B77" s="577"/>
      <c r="D77" s="578">
        <f t="shared" si="9"/>
        <v>13</v>
      </c>
      <c r="F77" s="817">
        <f t="shared" ca="1" si="7"/>
        <v>0.67201244149792416</v>
      </c>
      <c r="G77" s="817">
        <f t="shared" ca="1" si="6"/>
        <v>0.68288539750211141</v>
      </c>
      <c r="H77" s="817">
        <f t="shared" ca="1" si="6"/>
        <v>0.69902244974678585</v>
      </c>
      <c r="I77" s="817">
        <f t="shared" ca="1" si="6"/>
        <v>0.70435696803238823</v>
      </c>
      <c r="J77" s="818">
        <f t="shared" ca="1" si="6"/>
        <v>0.70435696803238823</v>
      </c>
      <c r="L77" s="579">
        <f t="shared" ca="1" si="8"/>
        <v>0.77690661990255017</v>
      </c>
    </row>
    <row r="78" spans="2:12" s="548" customFormat="1" ht="11.25" hidden="1" customHeight="1" outlineLevel="1">
      <c r="B78" s="577"/>
      <c r="D78" s="578">
        <f t="shared" si="9"/>
        <v>14</v>
      </c>
      <c r="F78" s="817">
        <f t="shared" ca="1" si="7"/>
        <v>0.65177642133942226</v>
      </c>
      <c r="G78" s="817">
        <f t="shared" ca="1" si="6"/>
        <v>0.66314019270450797</v>
      </c>
      <c r="H78" s="817">
        <f t="shared" ca="1" si="6"/>
        <v>0.68003129987193456</v>
      </c>
      <c r="I78" s="817">
        <f t="shared" ca="1" si="6"/>
        <v>0.68562172487250783</v>
      </c>
      <c r="J78" s="818">
        <f t="shared" ca="1" si="6"/>
        <v>0.68562172487250783</v>
      </c>
      <c r="L78" s="579">
        <f t="shared" ca="1" si="8"/>
        <v>0.76196610798134745</v>
      </c>
    </row>
    <row r="79" spans="2:12" s="548" customFormat="1" ht="11.25" hidden="1" customHeight="1" outlineLevel="1">
      <c r="B79" s="577"/>
      <c r="D79" s="578">
        <f t="shared" si="9"/>
        <v>15</v>
      </c>
      <c r="F79" s="817">
        <f t="shared" ca="1" si="7"/>
        <v>0.63214975970848364</v>
      </c>
      <c r="G79" s="817">
        <f t="shared" ca="1" si="6"/>
        <v>0.64396590817247978</v>
      </c>
      <c r="H79" s="817">
        <f t="shared" ca="1" si="6"/>
        <v>0.66155610448996072</v>
      </c>
      <c r="I79" s="817">
        <f t="shared" ca="1" si="6"/>
        <v>0.66738482183303593</v>
      </c>
      <c r="J79" s="818">
        <f t="shared" ca="1" si="6"/>
        <v>0.66738482183303593</v>
      </c>
      <c r="L79" s="579">
        <f t="shared" ca="1" si="8"/>
        <v>0.74731291359709084</v>
      </c>
    </row>
    <row r="80" spans="2:12" s="548" customFormat="1" ht="11.25" hidden="1" customHeight="1" outlineLevel="1">
      <c r="B80" s="577"/>
      <c r="D80" s="578">
        <f t="shared" si="9"/>
        <v>16</v>
      </c>
      <c r="F80" s="817">
        <f t="shared" ca="1" si="7"/>
        <v>0.61311410725517634</v>
      </c>
      <c r="G80" s="817">
        <f t="shared" ca="1" si="6"/>
        <v>0.62534603610309492</v>
      </c>
      <c r="H80" s="817">
        <f t="shared" ca="1" si="6"/>
        <v>0.64358284606951555</v>
      </c>
      <c r="I80" s="817">
        <f t="shared" ca="1" si="6"/>
        <v>0.64963300352820097</v>
      </c>
      <c r="J80" s="818">
        <f t="shared" ca="1" si="6"/>
        <v>0.64963300352820097</v>
      </c>
      <c r="L80" s="579">
        <f t="shared" ca="1" si="8"/>
        <v>0.7329415114125315</v>
      </c>
    </row>
    <row r="81" spans="2:13" s="548" customFormat="1" ht="11.25" hidden="1" customHeight="1" outlineLevel="1">
      <c r="B81" s="577"/>
      <c r="D81" s="578">
        <f t="shared" si="9"/>
        <v>17</v>
      </c>
      <c r="F81" s="817">
        <f t="shared" ca="1" si="7"/>
        <v>0.59465166717561135</v>
      </c>
      <c r="G81" s="817">
        <f t="shared" ca="1" si="6"/>
        <v>0.60726454600623436</v>
      </c>
      <c r="H81" s="817">
        <f t="shared" ca="1" si="6"/>
        <v>0.62609788790970688</v>
      </c>
      <c r="I81" s="817">
        <f t="shared" ca="1" si="6"/>
        <v>0.63235336715321921</v>
      </c>
      <c r="J81" s="818">
        <f t="shared" ca="1" si="6"/>
        <v>0.63235336715321921</v>
      </c>
      <c r="L81" s="579">
        <f t="shared" ca="1" si="8"/>
        <v>0.71884648234690596</v>
      </c>
    </row>
    <row r="82" spans="2:13" s="548" customFormat="1" ht="11.25" hidden="1" customHeight="1" outlineLevel="1">
      <c r="B82" s="577"/>
      <c r="D82" s="578">
        <f t="shared" si="9"/>
        <v>18</v>
      </c>
      <c r="F82" s="817">
        <f ca="1">((1+F$23)/(1+F$22))^$D82</f>
        <v>0.57674517857336194</v>
      </c>
      <c r="G82" s="817">
        <f t="shared" ca="1" si="6"/>
        <v>0.58970587090338933</v>
      </c>
      <c r="H82" s="817">
        <f t="shared" ca="1" si="6"/>
        <v>0.60908796379363839</v>
      </c>
      <c r="I82" s="817">
        <f t="shared" ca="1" si="6"/>
        <v>0.61553335310596713</v>
      </c>
      <c r="J82" s="818">
        <f t="shared" ca="1" si="6"/>
        <v>0.61553335310596713</v>
      </c>
      <c r="L82" s="579">
        <f t="shared" ca="1" si="8"/>
        <v>0.70502251153254247</v>
      </c>
    </row>
    <row r="83" spans="2:13" s="548" customFormat="1" ht="11.25" hidden="1" customHeight="1" outlineLevel="1">
      <c r="B83" s="577"/>
      <c r="D83" s="578">
        <f t="shared" si="9"/>
        <v>19</v>
      </c>
      <c r="F83" s="817">
        <f ca="1">((1+F$23)/(1+F$22))^$D83</f>
        <v>0.55937790032191403</v>
      </c>
      <c r="G83" s="817">
        <f t="shared" ca="1" si="6"/>
        <v>0.57265489392551294</v>
      </c>
      <c r="H83" s="817">
        <f t="shared" ca="1" si="6"/>
        <v>0.59254016792304354</v>
      </c>
      <c r="I83" s="817">
        <f t="shared" ca="1" si="6"/>
        <v>0.59916073585810803</v>
      </c>
      <c r="J83" s="818">
        <f t="shared" ca="1" si="6"/>
        <v>0.59916073585810803</v>
      </c>
      <c r="L83" s="579">
        <f t="shared" ca="1" si="8"/>
        <v>0.69146438631076279</v>
      </c>
    </row>
    <row r="84" spans="2:13" s="548" customFormat="1" ht="11.25" hidden="1" customHeight="1" outlineLevel="1">
      <c r="B84" s="577"/>
      <c r="D84" s="578">
        <f t="shared" si="9"/>
        <v>20</v>
      </c>
      <c r="F84" s="817">
        <f ca="1">((1+F$23)/(1+F$22))^$D84</f>
        <v>0.54253359541305957</v>
      </c>
      <c r="G84" s="817">
        <f t="shared" ca="1" si="6"/>
        <v>0.556096935298386</v>
      </c>
      <c r="H84" s="817">
        <f t="shared" ca="1" si="6"/>
        <v>0.57644194512637603</v>
      </c>
      <c r="I84" s="817">
        <f t="shared" ca="1" si="6"/>
        <v>0.58322361506903908</v>
      </c>
      <c r="J84" s="818">
        <f t="shared" ca="1" si="6"/>
        <v>0.58322361506903908</v>
      </c>
      <c r="L84" s="579">
        <f t="shared" ca="1" si="8"/>
        <v>0.6781669942663251</v>
      </c>
    </row>
    <row r="85" spans="2:13" ht="3" hidden="1" customHeight="1" outlineLevel="1">
      <c r="B85" s="564"/>
      <c r="J85" s="568"/>
    </row>
    <row r="86" spans="2:13" collapsed="1">
      <c r="B86" s="580"/>
      <c r="C86" s="581"/>
      <c r="D86" s="581"/>
      <c r="E86" s="581"/>
      <c r="F86" s="582"/>
      <c r="G86" s="582"/>
      <c r="H86" s="582"/>
      <c r="I86" s="582"/>
      <c r="J86" s="583"/>
    </row>
    <row r="88" spans="2:13" ht="15">
      <c r="C88" s="119"/>
      <c r="D88" s="119"/>
      <c r="E88" s="814" t="s">
        <v>613</v>
      </c>
      <c r="F88" s="698">
        <v>27.5</v>
      </c>
      <c r="G88" s="698" t="s">
        <v>499</v>
      </c>
      <c r="H88" s="698"/>
      <c r="I88" s="716">
        <v>0.05</v>
      </c>
      <c r="J88" s="698" t="s">
        <v>591</v>
      </c>
      <c r="K88" s="771"/>
      <c r="L88" s="771"/>
      <c r="M88" s="719" t="s">
        <v>580</v>
      </c>
    </row>
    <row r="89" spans="2:13" ht="15">
      <c r="E89" s="814" t="s">
        <v>831</v>
      </c>
      <c r="F89" s="965">
        <f ca="1">'DropDown menus'!AO9</f>
        <v>125</v>
      </c>
      <c r="G89" s="965" t="s">
        <v>499</v>
      </c>
      <c r="H89" s="698"/>
      <c r="I89" s="716">
        <v>0.05</v>
      </c>
      <c r="J89" s="698" t="s">
        <v>578</v>
      </c>
      <c r="K89" s="698"/>
      <c r="L89" s="698"/>
      <c r="M89" s="719" t="s">
        <v>581</v>
      </c>
    </row>
    <row r="90" spans="2:13" ht="15">
      <c r="E90" s="814" t="s">
        <v>816</v>
      </c>
      <c r="F90" s="1203">
        <f>75%*(268*EUR2USD_2020/(500*72/1000))</f>
        <v>6.1416666666666675</v>
      </c>
      <c r="G90" s="698" t="s">
        <v>499</v>
      </c>
      <c r="H90" s="698">
        <v>2020</v>
      </c>
      <c r="I90" s="1204">
        <v>0.03</v>
      </c>
      <c r="J90" s="1205" t="s">
        <v>817</v>
      </c>
      <c r="K90" s="771"/>
      <c r="L90" s="771"/>
      <c r="M90" s="719" t="s">
        <v>818</v>
      </c>
    </row>
    <row r="91" spans="2:13" ht="15">
      <c r="E91" s="814"/>
      <c r="F91" s="1203"/>
      <c r="G91" s="698"/>
      <c r="H91" s="698"/>
      <c r="I91" s="1204"/>
      <c r="J91" s="1205"/>
      <c r="K91" s="771"/>
      <c r="L91" s="771"/>
      <c r="M91" s="719"/>
    </row>
    <row r="92" spans="2:13">
      <c r="E92" s="814"/>
      <c r="F92" s="1203"/>
      <c r="G92" s="698"/>
      <c r="H92" s="698"/>
      <c r="I92" s="1204"/>
      <c r="J92" s="1205"/>
      <c r="K92" s="771"/>
      <c r="L92" s="771"/>
    </row>
    <row r="113" spans="2:12">
      <c r="B113" s="561" t="s">
        <v>553</v>
      </c>
      <c r="L113" s="561" t="s">
        <v>553</v>
      </c>
    </row>
    <row r="115" spans="2:12">
      <c r="B115" s="969" t="s">
        <v>689</v>
      </c>
    </row>
  </sheetData>
  <mergeCells count="2">
    <mergeCell ref="F4:J4"/>
    <mergeCell ref="M33:M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6" r:id="rId4" name="Drop Down 2">
              <controlPr defaultSize="0" autoLine="0" autoPict="0">
                <anchor moveWithCells="1">
                  <from>
                    <xdr:col>11</xdr:col>
                    <xdr:colOff>0</xdr:colOff>
                    <xdr:row>19</xdr:row>
                    <xdr:rowOff>0</xdr:rowOff>
                  </from>
                  <to>
                    <xdr:col>12</xdr:col>
                    <xdr:colOff>330200</xdr:colOff>
                    <xdr:row>19</xdr:row>
                    <xdr:rowOff>203200</xdr:rowOff>
                  </to>
                </anchor>
              </controlPr>
            </control>
          </mc:Choice>
        </mc:AlternateContent>
        <mc:AlternateContent xmlns:mc="http://schemas.openxmlformats.org/markup-compatibility/2006">
          <mc:Choice Requires="x14">
            <control shapeId="67587" r:id="rId5" name="Drop Down 3">
              <controlPr defaultSize="0" autoLine="0" autoPict="0">
                <anchor moveWithCells="1">
                  <from>
                    <xdr:col>11</xdr:col>
                    <xdr:colOff>0</xdr:colOff>
                    <xdr:row>20</xdr:row>
                    <xdr:rowOff>0</xdr:rowOff>
                  </from>
                  <to>
                    <xdr:col>12</xdr:col>
                    <xdr:colOff>25400</xdr:colOff>
                    <xdr:row>20</xdr:row>
                    <xdr:rowOff>203200</xdr:rowOff>
                  </to>
                </anchor>
              </controlPr>
            </control>
          </mc:Choice>
        </mc:AlternateContent>
        <mc:AlternateContent xmlns:mc="http://schemas.openxmlformats.org/markup-compatibility/2006">
          <mc:Choice Requires="x14">
            <control shapeId="67588" r:id="rId6" name="Drop Down 4">
              <controlPr defaultSize="0" autoLine="0" autoPict="0">
                <anchor moveWithCells="1">
                  <from>
                    <xdr:col>11</xdr:col>
                    <xdr:colOff>0</xdr:colOff>
                    <xdr:row>17</xdr:row>
                    <xdr:rowOff>12700</xdr:rowOff>
                  </from>
                  <to>
                    <xdr:col>12</xdr:col>
                    <xdr:colOff>12700</xdr:colOff>
                    <xdr:row>17</xdr:row>
                    <xdr:rowOff>215900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dimension ref="A2:AMK29"/>
  <sheetViews>
    <sheetView zoomScaleNormal="100" workbookViewId="0">
      <selection activeCell="H35" sqref="H35"/>
    </sheetView>
  </sheetViews>
  <sheetFormatPr baseColWidth="10" defaultColWidth="8.83203125" defaultRowHeight="13"/>
  <cols>
    <col min="1" max="1" width="7" customWidth="1"/>
    <col min="2" max="5" width="7" style="1" customWidth="1"/>
    <col min="6" max="6" width="3.5" customWidth="1"/>
    <col min="7" max="7" width="11.5"/>
    <col min="8" max="12" width="15.5" style="1" customWidth="1"/>
    <col min="13" max="13" width="2" customWidth="1"/>
    <col min="14" max="15" width="11.5"/>
    <col min="16" max="16" width="15.6640625" customWidth="1"/>
    <col min="17" max="1026" width="11.5"/>
  </cols>
  <sheetData>
    <row r="2" spans="1:1025" s="732" customFormat="1" ht="16">
      <c r="A2" s="2" t="s">
        <v>669</v>
      </c>
      <c r="B2" s="731"/>
      <c r="C2" s="731"/>
      <c r="D2" s="731"/>
      <c r="E2" s="731"/>
      <c r="H2" s="731"/>
      <c r="I2" s="731"/>
      <c r="J2" s="731"/>
      <c r="K2" s="731"/>
      <c r="L2" s="731"/>
    </row>
    <row r="3" spans="1:1025" s="542" customFormat="1">
      <c r="B3" s="734" t="s">
        <v>670</v>
      </c>
      <c r="C3" s="733"/>
      <c r="D3" s="733"/>
      <c r="E3" s="733"/>
      <c r="H3" s="733"/>
      <c r="I3" s="733"/>
      <c r="J3" s="733"/>
      <c r="K3" s="733"/>
      <c r="L3" s="733"/>
    </row>
    <row r="4" spans="1:1025" ht="14" thickBot="1">
      <c r="B4" t="s">
        <v>621</v>
      </c>
      <c r="D4"/>
    </row>
    <row r="5" spans="1:1025" s="3" customFormat="1" ht="18.5" customHeight="1">
      <c r="B5" s="1558" t="s">
        <v>71</v>
      </c>
      <c r="C5" s="1558"/>
      <c r="D5" s="1558" t="s">
        <v>2</v>
      </c>
      <c r="E5" s="1558"/>
      <c r="G5" s="1559" t="s">
        <v>671</v>
      </c>
      <c r="H5" s="1560"/>
      <c r="I5" s="1560"/>
      <c r="J5" s="1560"/>
      <c r="K5" s="1560"/>
      <c r="L5" s="1561"/>
      <c r="AMH5"/>
      <c r="AMI5"/>
      <c r="AMJ5"/>
      <c r="AMK5"/>
    </row>
    <row r="6" spans="1:1025" s="14" customFormat="1" ht="37.5" customHeight="1" thickBot="1">
      <c r="B6" s="15" t="s">
        <v>72</v>
      </c>
      <c r="C6" s="15" t="s">
        <v>47</v>
      </c>
      <c r="D6" s="15" t="s">
        <v>72</v>
      </c>
      <c r="E6" s="15" t="s">
        <v>47</v>
      </c>
      <c r="G6" s="740"/>
      <c r="H6" s="856" t="str">
        <f ca="1">OFFSET('DropDown menus'!$X$11,H7-1,0)</f>
        <v>Best Location 
(Chile, Emirates…)</v>
      </c>
      <c r="I6" s="856" t="str">
        <f ca="1">OFFSET('DropDown menus'!$X$11,I7-1,0)</f>
        <v>North Africa 
(Tanger, Rabat…)</v>
      </c>
      <c r="J6" s="856" t="str">
        <f ca="1">OFFSET('DropDown menus'!$X$11,J7-1,0)</f>
        <v>California</v>
      </c>
      <c r="K6" s="856" t="str">
        <f ca="1">OFFSET('DropDown menus'!$X$11,K7-1,0)</f>
        <v xml:space="preserve">Spain, Portugal, </v>
      </c>
      <c r="L6" s="857" t="str">
        <f ca="1">OFFSET('DropDown menus'!$X$11,L7-1,0)</f>
        <v>Germany, UK…</v>
      </c>
      <c r="AMH6" s="6"/>
      <c r="AMI6" s="6"/>
      <c r="AMJ6" s="6"/>
      <c r="AMK6" s="6"/>
    </row>
    <row r="7" spans="1:1025" s="858" customFormat="1" ht="11" hidden="1">
      <c r="B7" s="859"/>
      <c r="C7" s="859"/>
      <c r="D7" s="859"/>
      <c r="E7" s="859"/>
      <c r="G7" s="860"/>
      <c r="H7" s="854">
        <v>1</v>
      </c>
      <c r="I7" s="854">
        <f>H7+1</f>
        <v>2</v>
      </c>
      <c r="J7" s="854">
        <f>I7+1</f>
        <v>3</v>
      </c>
      <c r="K7" s="854">
        <f>J7+1</f>
        <v>4</v>
      </c>
      <c r="L7" s="855">
        <f>K7+1</f>
        <v>5</v>
      </c>
      <c r="AMH7" s="846"/>
      <c r="AMI7" s="846"/>
      <c r="AMJ7" s="846"/>
      <c r="AMK7" s="846"/>
    </row>
    <row r="8" spans="1:1025">
      <c r="A8">
        <v>2015</v>
      </c>
      <c r="B8" s="58">
        <v>54</v>
      </c>
      <c r="D8" s="58">
        <v>70</v>
      </c>
      <c r="G8" s="735"/>
      <c r="H8" s="747"/>
      <c r="I8" s="747"/>
      <c r="J8" s="747"/>
      <c r="K8" s="747"/>
      <c r="L8" s="748"/>
    </row>
    <row r="9" spans="1:1025">
      <c r="A9">
        <f>A8+1</f>
        <v>2016</v>
      </c>
      <c r="B9" s="58">
        <v>50</v>
      </c>
      <c r="C9" s="59">
        <f>B9/B8-1</f>
        <v>-7.407407407407407E-2</v>
      </c>
      <c r="D9" s="58">
        <v>58</v>
      </c>
      <c r="E9" s="59">
        <f>D9/D8-1</f>
        <v>-0.17142857142857137</v>
      </c>
      <c r="G9" s="735"/>
      <c r="H9" s="747"/>
      <c r="I9" s="747"/>
      <c r="J9" s="747"/>
      <c r="K9" s="747"/>
      <c r="L9" s="748"/>
    </row>
    <row r="10" spans="1:1025">
      <c r="A10">
        <f t="shared" ref="A10:A24" si="0">A9+1</f>
        <v>2017</v>
      </c>
      <c r="B10" s="58">
        <v>47</v>
      </c>
      <c r="C10" s="59">
        <f>B10/B9-1</f>
        <v>-6.0000000000000053E-2</v>
      </c>
      <c r="D10" s="58">
        <v>48</v>
      </c>
      <c r="E10" s="59">
        <f>D10/D9-1</f>
        <v>-0.17241379310344829</v>
      </c>
      <c r="G10" s="735"/>
      <c r="H10" s="747"/>
      <c r="I10" s="747"/>
      <c r="J10" s="747"/>
      <c r="K10" s="747"/>
      <c r="L10" s="748"/>
    </row>
    <row r="11" spans="1:1025">
      <c r="A11">
        <f t="shared" si="0"/>
        <v>2018</v>
      </c>
      <c r="B11" s="58">
        <v>45</v>
      </c>
      <c r="C11" s="59">
        <f>B11/B10-1</f>
        <v>-4.2553191489361653E-2</v>
      </c>
      <c r="D11" s="58">
        <v>40</v>
      </c>
      <c r="E11" s="59">
        <f>D11/D10-1</f>
        <v>-0.16666666666666663</v>
      </c>
      <c r="G11" s="735"/>
      <c r="H11" s="749" t="s">
        <v>589</v>
      </c>
      <c r="I11" s="749" t="s">
        <v>589</v>
      </c>
      <c r="J11" s="749" t="s">
        <v>589</v>
      </c>
      <c r="K11" s="749" t="s">
        <v>589</v>
      </c>
      <c r="L11" s="750" t="s">
        <v>589</v>
      </c>
    </row>
    <row r="12" spans="1:1025">
      <c r="A12">
        <f t="shared" si="0"/>
        <v>2019</v>
      </c>
      <c r="B12" s="60">
        <v>43</v>
      </c>
      <c r="C12" s="61">
        <f>B12/B11-1</f>
        <v>-4.4444444444444398E-2</v>
      </c>
      <c r="D12" s="60">
        <v>35</v>
      </c>
      <c r="E12" s="62">
        <f>D12/D11-1</f>
        <v>-0.125</v>
      </c>
      <c r="G12" s="735"/>
      <c r="H12" s="751"/>
      <c r="I12" s="751"/>
      <c r="J12" s="751"/>
      <c r="K12" s="751"/>
      <c r="L12" s="752"/>
    </row>
    <row r="13" spans="1:1025">
      <c r="A13">
        <f t="shared" si="0"/>
        <v>2020</v>
      </c>
      <c r="B13" s="63">
        <v>41</v>
      </c>
      <c r="C13" s="64">
        <f>B13/B12-1</f>
        <v>-4.6511627906976716E-2</v>
      </c>
      <c r="D13" s="63">
        <v>32</v>
      </c>
      <c r="E13" s="65">
        <f>D13/D12-1</f>
        <v>-8.5714285714285743E-2</v>
      </c>
      <c r="G13" s="736" t="s">
        <v>47</v>
      </c>
      <c r="H13" s="745">
        <f ca="1">'PV-LCOE'!F32*1000</f>
        <v>25.127279319961517</v>
      </c>
      <c r="I13" s="745">
        <f ca="1">'PV-LCOE'!G32*1000</f>
        <v>25.084830384615024</v>
      </c>
      <c r="J13" s="745">
        <f ca="1">'PV-LCOE'!H32*1000</f>
        <v>30.513894605039876</v>
      </c>
      <c r="K13" s="745">
        <f ca="1">'PV-LCOE'!I32*1000</f>
        <v>30.343095834622304</v>
      </c>
      <c r="L13" s="746">
        <f ca="1">'PV-LCOE'!J32*1000</f>
        <v>52.962494547704367</v>
      </c>
      <c r="N13" s="584" t="s">
        <v>496</v>
      </c>
    </row>
    <row r="14" spans="1:1025">
      <c r="A14">
        <f t="shared" si="0"/>
        <v>2021</v>
      </c>
      <c r="B14" s="66">
        <f t="shared" ref="B14:B24" si="1">B13*(1+C14)</f>
        <v>39.769999999999996</v>
      </c>
      <c r="C14" s="67">
        <v>-0.03</v>
      </c>
      <c r="D14" s="66">
        <f t="shared" ref="D14:D24" si="2">D13*(1+E14)</f>
        <v>29.759999999999998</v>
      </c>
      <c r="E14" s="67">
        <v>-7.0000000000000007E-2</v>
      </c>
      <c r="G14" s="737">
        <v>-7.0000000000000007E-2</v>
      </c>
      <c r="H14" s="741">
        <f t="shared" ref="H14:H24" ca="1" si="3">H13*(1+$G14)</f>
        <v>23.368369767564207</v>
      </c>
      <c r="I14" s="741">
        <f t="shared" ref="I14:L24" ca="1" si="4">I13*(1+$G14)</f>
        <v>23.328892257691972</v>
      </c>
      <c r="J14" s="741">
        <f t="shared" ca="1" si="4"/>
        <v>28.377921982687084</v>
      </c>
      <c r="K14" s="741">
        <f t="shared" ca="1" si="4"/>
        <v>28.219079126198739</v>
      </c>
      <c r="L14" s="742">
        <f t="shared" ca="1" si="4"/>
        <v>49.255119929365058</v>
      </c>
    </row>
    <row r="15" spans="1:1025">
      <c r="A15">
        <f t="shared" si="0"/>
        <v>2022</v>
      </c>
      <c r="B15" s="66">
        <f t="shared" si="1"/>
        <v>38.576899999999995</v>
      </c>
      <c r="C15" s="67">
        <f t="shared" ref="C15:C24" si="5">C14</f>
        <v>-0.03</v>
      </c>
      <c r="D15" s="66">
        <f t="shared" si="2"/>
        <v>27.885119999999997</v>
      </c>
      <c r="E15" s="67">
        <f>90%*E14</f>
        <v>-6.3000000000000014E-2</v>
      </c>
      <c r="G15" s="738">
        <f>MIN(G$26,G$27*G14)</f>
        <v>-6.6500000000000004E-2</v>
      </c>
      <c r="H15" s="741">
        <f t="shared" ca="1" si="3"/>
        <v>21.814373178021189</v>
      </c>
      <c r="I15" s="741">
        <f t="shared" ca="1" si="4"/>
        <v>21.777520922555457</v>
      </c>
      <c r="J15" s="741">
        <f t="shared" ca="1" si="4"/>
        <v>26.490790170838395</v>
      </c>
      <c r="K15" s="741">
        <f t="shared" ca="1" si="4"/>
        <v>26.342510364306523</v>
      </c>
      <c r="L15" s="742">
        <f t="shared" ca="1" si="4"/>
        <v>45.979654454062285</v>
      </c>
    </row>
    <row r="16" spans="1:1025">
      <c r="A16">
        <f t="shared" si="0"/>
        <v>2023</v>
      </c>
      <c r="B16" s="66">
        <f t="shared" si="1"/>
        <v>37.419592999999992</v>
      </c>
      <c r="C16" s="67">
        <f t="shared" si="5"/>
        <v>-0.03</v>
      </c>
      <c r="D16" s="66">
        <f t="shared" si="2"/>
        <v>26.304033695999998</v>
      </c>
      <c r="E16" s="67">
        <f>90%*E15</f>
        <v>-5.6700000000000014E-2</v>
      </c>
      <c r="G16" s="738">
        <f t="shared" ref="G16:G24" si="6">MIN(G$26,G$27*G15)</f>
        <v>-6.3174999999999995E-2</v>
      </c>
      <c r="H16" s="741">
        <f t="shared" ca="1" si="3"/>
        <v>20.436250152499699</v>
      </c>
      <c r="I16" s="741">
        <f t="shared" ca="1" si="4"/>
        <v>20.401726038273015</v>
      </c>
      <c r="J16" s="741">
        <f t="shared" ca="1" si="4"/>
        <v>24.817234501795678</v>
      </c>
      <c r="K16" s="741">
        <f t="shared" ca="1" si="4"/>
        <v>24.678322272041459</v>
      </c>
      <c r="L16" s="742">
        <f t="shared" ca="1" si="4"/>
        <v>43.074889783926899</v>
      </c>
    </row>
    <row r="17" spans="1:12">
      <c r="A17">
        <f t="shared" si="0"/>
        <v>2024</v>
      </c>
      <c r="B17" s="66">
        <f t="shared" si="1"/>
        <v>36.297005209999988</v>
      </c>
      <c r="C17" s="67">
        <f t="shared" si="5"/>
        <v>-0.03</v>
      </c>
      <c r="D17" s="66">
        <f t="shared" si="2"/>
        <v>24.961738856493117</v>
      </c>
      <c r="E17" s="67">
        <f>90%*E16</f>
        <v>-5.1030000000000013E-2</v>
      </c>
      <c r="G17" s="738">
        <f t="shared" si="6"/>
        <v>-6.0016249999999993E-2</v>
      </c>
      <c r="H17" s="741">
        <f t="shared" ca="1" si="3"/>
        <v>19.20974305428474</v>
      </c>
      <c r="I17" s="741">
        <f t="shared" ca="1" si="4"/>
        <v>19.177290947928512</v>
      </c>
      <c r="J17" s="741">
        <f t="shared" ca="1" si="4"/>
        <v>23.327797151627284</v>
      </c>
      <c r="K17" s="741">
        <f t="shared" ca="1" si="4"/>
        <v>23.197221912982052</v>
      </c>
      <c r="L17" s="742">
        <f t="shared" ca="1" si="4"/>
        <v>40.489696429932295</v>
      </c>
    </row>
    <row r="18" spans="1:12">
      <c r="A18">
        <f t="shared" si="0"/>
        <v>2025</v>
      </c>
      <c r="B18" s="66">
        <f t="shared" si="1"/>
        <v>35.208095053699985</v>
      </c>
      <c r="C18" s="67">
        <f t="shared" si="5"/>
        <v>-0.03</v>
      </c>
      <c r="D18" s="66">
        <f t="shared" si="2"/>
        <v>23.815321076030955</v>
      </c>
      <c r="E18" s="67">
        <f>90%*E17</f>
        <v>-4.5927000000000009E-2</v>
      </c>
      <c r="G18" s="738">
        <f t="shared" si="6"/>
        <v>-5.7015437499999988E-2</v>
      </c>
      <c r="H18" s="741">
        <f t="shared" ca="1" si="3"/>
        <v>18.114491149782108</v>
      </c>
      <c r="I18" s="741">
        <f t="shared" ca="1" si="4"/>
        <v>18.083889314467577</v>
      </c>
      <c r="J18" s="741">
        <f t="shared" ca="1" si="4"/>
        <v>21.997752591116001</v>
      </c>
      <c r="K18" s="741">
        <f t="shared" ca="1" si="4"/>
        <v>21.874622156828792</v>
      </c>
      <c r="L18" s="742">
        <f t="shared" ca="1" si="4"/>
        <v>38.181158673737514</v>
      </c>
    </row>
    <row r="19" spans="1:12">
      <c r="A19">
        <f t="shared" si="0"/>
        <v>2026</v>
      </c>
      <c r="B19" s="66">
        <f t="shared" si="1"/>
        <v>34.151852202088982</v>
      </c>
      <c r="C19" s="67">
        <f t="shared" si="5"/>
        <v>-0.03</v>
      </c>
      <c r="D19" s="66">
        <f t="shared" si="2"/>
        <v>22.830931450077969</v>
      </c>
      <c r="E19" s="67">
        <f>90%*E18</f>
        <v>-4.1334300000000011E-2</v>
      </c>
      <c r="G19" s="738">
        <f t="shared" si="6"/>
        <v>-5.4164665624999983E-2</v>
      </c>
      <c r="H19" s="741">
        <f t="shared" ca="1" si="3"/>
        <v>17.133325793687138</v>
      </c>
      <c r="I19" s="741">
        <f t="shared" ca="1" si="4"/>
        <v>17.10438149654993</v>
      </c>
      <c r="J19" s="741">
        <f t="shared" ca="1" si="4"/>
        <v>20.806251677516727</v>
      </c>
      <c r="K19" s="741">
        <f t="shared" ca="1" si="4"/>
        <v>20.689790562030943</v>
      </c>
      <c r="L19" s="742">
        <f t="shared" ca="1" si="4"/>
        <v>36.11308898099945</v>
      </c>
    </row>
    <row r="20" spans="1:12">
      <c r="A20">
        <f t="shared" si="0"/>
        <v>2027</v>
      </c>
      <c r="B20" s="66">
        <f t="shared" si="1"/>
        <v>33.127296636026308</v>
      </c>
      <c r="C20" s="67">
        <f t="shared" si="5"/>
        <v>-0.03</v>
      </c>
      <c r="D20" s="66">
        <f t="shared" si="2"/>
        <v>21.88723088024101</v>
      </c>
      <c r="E20" s="67">
        <f>E19</f>
        <v>-4.1334300000000011E-2</v>
      </c>
      <c r="G20" s="738">
        <f t="shared" si="6"/>
        <v>-5.1456432343749983E-2</v>
      </c>
      <c r="H20" s="741">
        <f t="shared" ca="1" si="3"/>
        <v>16.251705974160849</v>
      </c>
      <c r="I20" s="741">
        <f t="shared" ca="1" si="4"/>
        <v>16.22425104729102</v>
      </c>
      <c r="J20" s="741">
        <f t="shared" ca="1" si="4"/>
        <v>19.735636195745553</v>
      </c>
      <c r="K20" s="741">
        <f t="shared" ca="1" si="4"/>
        <v>19.625167753769443</v>
      </c>
      <c r="L20" s="742">
        <f t="shared" ca="1" si="4"/>
        <v>34.254838261124831</v>
      </c>
    </row>
    <row r="21" spans="1:12">
      <c r="A21">
        <f t="shared" si="0"/>
        <v>2028</v>
      </c>
      <c r="B21" s="66">
        <f t="shared" si="1"/>
        <v>32.133477736945515</v>
      </c>
      <c r="C21" s="67">
        <f t="shared" si="5"/>
        <v>-0.03</v>
      </c>
      <c r="D21" s="66">
        <f t="shared" si="2"/>
        <v>20.982537512867864</v>
      </c>
      <c r="E21" s="67">
        <f>E20</f>
        <v>-4.1334300000000011E-2</v>
      </c>
      <c r="G21" s="738">
        <f t="shared" si="6"/>
        <v>-0.05</v>
      </c>
      <c r="H21" s="741">
        <f t="shared" ca="1" si="3"/>
        <v>15.439120675452806</v>
      </c>
      <c r="I21" s="741">
        <f t="shared" ca="1" si="4"/>
        <v>15.413038494926468</v>
      </c>
      <c r="J21" s="741">
        <f t="shared" ca="1" si="4"/>
        <v>18.748854385958275</v>
      </c>
      <c r="K21" s="741">
        <f t="shared" ca="1" si="4"/>
        <v>18.643909366080969</v>
      </c>
      <c r="L21" s="742">
        <f t="shared" ca="1" si="4"/>
        <v>32.54209634806859</v>
      </c>
    </row>
    <row r="22" spans="1:12">
      <c r="A22">
        <f t="shared" si="0"/>
        <v>2029</v>
      </c>
      <c r="B22" s="66">
        <f t="shared" si="1"/>
        <v>31.169473404837149</v>
      </c>
      <c r="C22" s="67">
        <f t="shared" si="5"/>
        <v>-0.03</v>
      </c>
      <c r="D22" s="66">
        <f t="shared" si="2"/>
        <v>20.115239012549729</v>
      </c>
      <c r="E22" s="67">
        <f>E21</f>
        <v>-4.1334300000000011E-2</v>
      </c>
      <c r="G22" s="738">
        <f t="shared" si="6"/>
        <v>-0.05</v>
      </c>
      <c r="H22" s="741">
        <f t="shared" ca="1" si="3"/>
        <v>14.667164641680165</v>
      </c>
      <c r="I22" s="741">
        <f t="shared" ca="1" si="4"/>
        <v>14.642386570180143</v>
      </c>
      <c r="J22" s="741">
        <f t="shared" ca="1" si="4"/>
        <v>17.811411666660359</v>
      </c>
      <c r="K22" s="741">
        <f t="shared" ca="1" si="4"/>
        <v>17.711713897776921</v>
      </c>
      <c r="L22" s="742">
        <f t="shared" ca="1" si="4"/>
        <v>30.914991530665159</v>
      </c>
    </row>
    <row r="23" spans="1:12">
      <c r="A23">
        <f t="shared" si="0"/>
        <v>2030</v>
      </c>
      <c r="B23" s="66">
        <f t="shared" si="1"/>
        <v>30.234389202692032</v>
      </c>
      <c r="C23" s="67">
        <f t="shared" si="5"/>
        <v>-0.03</v>
      </c>
      <c r="D23" s="66">
        <f t="shared" si="2"/>
        <v>19.283789688633295</v>
      </c>
      <c r="E23" s="67">
        <f>E22</f>
        <v>-4.1334300000000011E-2</v>
      </c>
      <c r="G23" s="738">
        <f t="shared" si="6"/>
        <v>-0.05</v>
      </c>
      <c r="H23" s="741">
        <f t="shared" ca="1" si="3"/>
        <v>13.933806409596155</v>
      </c>
      <c r="I23" s="741">
        <f t="shared" ca="1" si="4"/>
        <v>13.910267241671136</v>
      </c>
      <c r="J23" s="741">
        <f t="shared" ca="1" si="4"/>
        <v>16.920841083327339</v>
      </c>
      <c r="K23" s="741">
        <f t="shared" ca="1" si="4"/>
        <v>16.826128202888075</v>
      </c>
      <c r="L23" s="742">
        <f t="shared" ca="1" si="4"/>
        <v>29.369241954131898</v>
      </c>
    </row>
    <row r="24" spans="1:12" ht="14" thickBot="1">
      <c r="A24">
        <f t="shared" si="0"/>
        <v>2031</v>
      </c>
      <c r="B24" s="66">
        <f t="shared" si="1"/>
        <v>29.327357526611269</v>
      </c>
      <c r="C24" s="67">
        <f t="shared" si="5"/>
        <v>-0.03</v>
      </c>
      <c r="D24" s="66">
        <f t="shared" si="2"/>
        <v>18.486707740506418</v>
      </c>
      <c r="E24" s="67">
        <f>E23</f>
        <v>-4.1334300000000011E-2</v>
      </c>
      <c r="G24" s="739">
        <f t="shared" si="6"/>
        <v>-0.05</v>
      </c>
      <c r="H24" s="743">
        <f t="shared" ca="1" si="3"/>
        <v>13.237116089116347</v>
      </c>
      <c r="I24" s="743">
        <f t="shared" ca="1" si="4"/>
        <v>13.214753879587578</v>
      </c>
      <c r="J24" s="743">
        <f t="shared" ca="1" si="4"/>
        <v>16.074799029160971</v>
      </c>
      <c r="K24" s="743">
        <f t="shared" ca="1" si="4"/>
        <v>15.98482179274367</v>
      </c>
      <c r="L24" s="744">
        <f t="shared" ca="1" si="4"/>
        <v>27.900779856425302</v>
      </c>
    </row>
    <row r="26" spans="1:12">
      <c r="G26" s="67">
        <v>-0.05</v>
      </c>
      <c r="H26" s="13" t="s">
        <v>497</v>
      </c>
    </row>
    <row r="27" spans="1:12">
      <c r="G27" s="67">
        <v>0.95</v>
      </c>
      <c r="H27" s="13" t="s">
        <v>498</v>
      </c>
    </row>
    <row r="29" spans="1:12">
      <c r="A29" s="375" t="s">
        <v>683</v>
      </c>
    </row>
  </sheetData>
  <mergeCells count="3">
    <mergeCell ref="B5:C5"/>
    <mergeCell ref="D5:E5"/>
    <mergeCell ref="G5:L5"/>
  </mergeCells>
  <pageMargins left="0.39374999999999999" right="0.39374999999999999" top="0.78749999999999998" bottom="1.05277777777778" header="0.51180555555555496" footer="0.78749999999999998"/>
  <pageSetup paperSize="9" scale="90" firstPageNumber="0" orientation="landscape" r:id="rId1"/>
  <headerFooter>
    <oddFooter>&amp;C&amp;"Times New Roman,Regular"&amp;12Page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dimension ref="A2:N49"/>
  <sheetViews>
    <sheetView zoomScale="90" zoomScaleNormal="90" workbookViewId="0">
      <selection activeCell="B19" sqref="B19"/>
    </sheetView>
  </sheetViews>
  <sheetFormatPr baseColWidth="10" defaultColWidth="8.83203125" defaultRowHeight="13"/>
  <cols>
    <col min="1" max="1" width="2" customWidth="1"/>
    <col min="2" max="2" width="11.5"/>
    <col min="3" max="3" width="20.33203125" customWidth="1"/>
    <col min="4" max="1025" width="11.5"/>
  </cols>
  <sheetData>
    <row r="2" spans="1:12" ht="15.5" customHeight="1">
      <c r="A2" s="43"/>
      <c r="B2" s="44" t="s">
        <v>52</v>
      </c>
      <c r="C2" s="45"/>
      <c r="D2" s="45"/>
      <c r="E2" s="45"/>
      <c r="F2" s="45"/>
      <c r="G2" s="45"/>
      <c r="H2" s="45"/>
      <c r="I2" s="45"/>
      <c r="J2" s="45"/>
      <c r="K2" s="45"/>
      <c r="L2" s="45"/>
    </row>
    <row r="3" spans="1:12" ht="14.5" customHeight="1">
      <c r="B3" s="1562" t="s">
        <v>53</v>
      </c>
      <c r="C3" s="1562"/>
      <c r="D3" s="184" t="s">
        <v>54</v>
      </c>
      <c r="E3" s="183">
        <v>0.42</v>
      </c>
      <c r="F3" s="185"/>
      <c r="I3" s="45"/>
      <c r="J3" s="45"/>
      <c r="K3" s="45"/>
      <c r="L3" s="45"/>
    </row>
    <row r="4" spans="1:12" ht="14.5" customHeight="1">
      <c r="B4" s="182"/>
      <c r="C4" s="182" t="s">
        <v>55</v>
      </c>
      <c r="E4" s="186">
        <v>0.08</v>
      </c>
      <c r="F4" s="185"/>
      <c r="I4" s="45"/>
      <c r="J4" s="45"/>
      <c r="K4" s="45"/>
      <c r="L4" s="45"/>
    </row>
    <row r="5" spans="1:12" ht="14.5" customHeight="1">
      <c r="B5" s="182"/>
      <c r="C5" s="182" t="s">
        <v>57</v>
      </c>
      <c r="E5" s="258">
        <f>20%*G5</f>
        <v>0.06</v>
      </c>
      <c r="F5" s="47" t="s">
        <v>216</v>
      </c>
      <c r="G5" s="256">
        <v>0.3</v>
      </c>
      <c r="H5" t="s">
        <v>214</v>
      </c>
      <c r="I5" s="45"/>
      <c r="J5" s="45"/>
      <c r="K5" s="45"/>
      <c r="L5" s="45"/>
    </row>
    <row r="6" spans="1:12" ht="14.5" customHeight="1">
      <c r="A6" s="459"/>
      <c r="B6" s="187"/>
      <c r="C6" s="189" t="s">
        <v>188</v>
      </c>
      <c r="D6" s="188"/>
      <c r="E6" s="190">
        <f>E3*(1+E4)*(1+E5)</f>
        <v>0.48081600000000002</v>
      </c>
      <c r="F6" s="47" t="s">
        <v>227</v>
      </c>
      <c r="I6" s="45"/>
      <c r="J6" s="45"/>
      <c r="K6" s="45"/>
      <c r="L6" s="45"/>
    </row>
    <row r="7" spans="1:12" ht="14.5" customHeight="1">
      <c r="B7" s="46"/>
      <c r="C7" s="45" t="s">
        <v>58</v>
      </c>
      <c r="D7" s="45" t="s">
        <v>59</v>
      </c>
      <c r="E7" s="257">
        <f>5.5*G7</f>
        <v>4.8950000000000005</v>
      </c>
      <c r="F7" s="47" t="s">
        <v>216</v>
      </c>
      <c r="G7" s="256">
        <v>0.89</v>
      </c>
      <c r="H7" t="s">
        <v>215</v>
      </c>
      <c r="I7" s="45"/>
      <c r="J7" s="45"/>
      <c r="K7" s="45"/>
      <c r="L7" s="45"/>
    </row>
    <row r="8" spans="1:12" ht="14.5" customHeight="1">
      <c r="B8" s="46"/>
      <c r="C8" s="45" t="s">
        <v>60</v>
      </c>
      <c r="D8" s="45" t="s">
        <v>61</v>
      </c>
      <c r="E8" s="49">
        <v>20</v>
      </c>
      <c r="F8" s="47"/>
      <c r="G8" s="46">
        <v>360</v>
      </c>
      <c r="H8" t="s">
        <v>62</v>
      </c>
      <c r="I8" s="45"/>
      <c r="J8" s="45"/>
      <c r="K8" s="45"/>
      <c r="L8" s="45"/>
    </row>
    <row r="9" spans="1:12" ht="14.5" customHeight="1">
      <c r="B9" s="46"/>
      <c r="C9" s="45" t="s">
        <v>63</v>
      </c>
      <c r="D9" s="45"/>
      <c r="E9" s="50">
        <v>0.8</v>
      </c>
      <c r="F9" s="47"/>
      <c r="I9" s="45"/>
      <c r="J9" s="45"/>
      <c r="K9" s="45"/>
      <c r="L9" s="45"/>
    </row>
    <row r="10" spans="1:12" ht="14.5" customHeight="1">
      <c r="B10" s="46"/>
      <c r="C10" s="46" t="s">
        <v>56</v>
      </c>
      <c r="E10" s="192">
        <v>0.03</v>
      </c>
      <c r="F10" s="47" t="s">
        <v>187</v>
      </c>
      <c r="I10" s="45"/>
      <c r="J10" s="45"/>
      <c r="K10" s="45"/>
      <c r="L10" s="45"/>
    </row>
    <row r="11" spans="1:12" ht="14.5" customHeight="1">
      <c r="B11" s="46"/>
      <c r="C11" s="45" t="s">
        <v>64</v>
      </c>
      <c r="D11" s="1295" t="s">
        <v>65</v>
      </c>
      <c r="E11" s="1296">
        <f>E6*(1+E10*E8/2)*1000</f>
        <v>625.06080000000009</v>
      </c>
      <c r="F11" s="47"/>
      <c r="H11" s="408"/>
      <c r="I11" s="45"/>
      <c r="J11" s="45"/>
      <c r="K11" s="45"/>
      <c r="L11" s="45"/>
    </row>
    <row r="12" spans="1:12" ht="14.5" customHeight="1">
      <c r="B12" s="46"/>
      <c r="C12" s="45" t="s">
        <v>66</v>
      </c>
      <c r="D12" s="45" t="s">
        <v>67</v>
      </c>
      <c r="E12" s="1297">
        <f>E8*G8*E7*(100%+E9)/2</f>
        <v>31719.600000000002</v>
      </c>
      <c r="F12" s="47"/>
      <c r="H12" s="408"/>
      <c r="I12" s="45"/>
      <c r="J12" s="45"/>
      <c r="K12" s="45"/>
      <c r="L12" s="45"/>
    </row>
    <row r="13" spans="1:12" ht="14.5" customHeight="1">
      <c r="A13" s="459"/>
      <c r="B13" s="187"/>
      <c r="C13" s="191" t="s">
        <v>248</v>
      </c>
      <c r="D13" s="51" t="s">
        <v>1</v>
      </c>
      <c r="E13" s="1298">
        <f>E11/E12</f>
        <v>1.9705822267620021E-2</v>
      </c>
      <c r="F13" s="47"/>
      <c r="H13" s="408"/>
      <c r="I13" s="45"/>
      <c r="J13" s="45"/>
      <c r="K13" s="45"/>
      <c r="L13" s="45"/>
    </row>
    <row r="14" spans="1:12" ht="14.5" customHeight="1">
      <c r="B14" s="46"/>
      <c r="C14" s="46" t="s">
        <v>247</v>
      </c>
      <c r="E14" s="192">
        <v>0.03</v>
      </c>
      <c r="F14" s="47" t="s">
        <v>187</v>
      </c>
      <c r="I14" s="45"/>
      <c r="J14" s="45"/>
      <c r="K14" s="45"/>
      <c r="L14" s="45"/>
    </row>
    <row r="15" spans="1:12" ht="14.5" customHeight="1">
      <c r="B15" s="46"/>
      <c r="C15" s="409" t="s">
        <v>249</v>
      </c>
      <c r="D15" s="1295" t="s">
        <v>65</v>
      </c>
      <c r="E15" s="1296">
        <f>E6*E14*(E8/2)*1000</f>
        <v>144.2448</v>
      </c>
      <c r="F15" s="47"/>
      <c r="H15" s="408"/>
      <c r="I15" s="45"/>
      <c r="J15" s="45"/>
      <c r="K15" s="45"/>
      <c r="L15" s="45"/>
    </row>
    <row r="16" spans="1:12" ht="14.5" customHeight="1">
      <c r="A16" s="459"/>
      <c r="B16" s="187"/>
      <c r="C16" s="191" t="s">
        <v>877</v>
      </c>
      <c r="D16" s="51" t="s">
        <v>1</v>
      </c>
      <c r="E16" s="1298">
        <f>(E15+E11)/E12</f>
        <v>2.4253319713993873E-2</v>
      </c>
      <c r="F16" s="47"/>
      <c r="H16" s="408"/>
      <c r="I16" s="45"/>
      <c r="J16" s="45"/>
      <c r="K16" s="45"/>
      <c r="L16" s="45"/>
    </row>
    <row r="17" spans="2:14" ht="14.5" customHeight="1">
      <c r="B17" s="375" t="s">
        <v>251</v>
      </c>
      <c r="C17" s="46"/>
      <c r="E17" s="48"/>
      <c r="F17" s="47"/>
      <c r="I17" s="45"/>
      <c r="J17" s="45"/>
      <c r="K17" s="45"/>
      <c r="L17" s="45"/>
    </row>
    <row r="18" spans="2:14" ht="14.5" customHeight="1">
      <c r="B18" s="46"/>
      <c r="C18" s="46"/>
      <c r="E18" s="48"/>
      <c r="F18" s="47"/>
      <c r="I18" s="45"/>
      <c r="J18" s="45"/>
      <c r="K18" s="45"/>
      <c r="L18" s="45"/>
    </row>
    <row r="19" spans="2:14" ht="14.5" customHeight="1">
      <c r="B19" s="52" t="s">
        <v>68</v>
      </c>
      <c r="C19" s="53"/>
      <c r="D19" s="53"/>
      <c r="E19" s="53"/>
      <c r="F19" s="54"/>
      <c r="G19" s="53"/>
      <c r="H19" s="53"/>
      <c r="I19" s="55"/>
      <c r="J19" s="55"/>
      <c r="K19" s="55"/>
      <c r="L19" s="55"/>
      <c r="M19" s="53"/>
      <c r="N19" s="53"/>
    </row>
    <row r="20" spans="2:14" ht="14.5" customHeight="1">
      <c r="F20" s="56"/>
      <c r="H20" t="s">
        <v>69</v>
      </c>
      <c r="I20" s="45"/>
      <c r="J20" s="45"/>
      <c r="K20" s="45"/>
      <c r="L20" s="45"/>
    </row>
    <row r="21" spans="2:14" ht="14.5" customHeight="1">
      <c r="B21" s="57"/>
      <c r="F21" s="56"/>
      <c r="I21" s="45"/>
      <c r="J21" s="45"/>
      <c r="K21" s="45"/>
      <c r="L21" s="45"/>
    </row>
    <row r="22" spans="2:14" ht="14.5" customHeight="1">
      <c r="B22" s="57"/>
      <c r="F22" s="56"/>
      <c r="I22" s="45"/>
      <c r="J22" s="45"/>
      <c r="K22" s="45"/>
      <c r="L22" s="45"/>
    </row>
    <row r="23" spans="2:14" ht="15">
      <c r="F23" s="56"/>
      <c r="I23" s="45"/>
      <c r="J23" s="45"/>
      <c r="K23" s="45"/>
      <c r="L23" s="45"/>
    </row>
    <row r="24" spans="2:14" ht="15">
      <c r="F24" s="56"/>
      <c r="I24" s="45"/>
      <c r="J24" s="45"/>
      <c r="K24" s="45"/>
      <c r="L24" s="45"/>
    </row>
    <row r="25" spans="2:14" ht="15">
      <c r="F25" s="56"/>
      <c r="I25" s="45"/>
      <c r="J25" s="45"/>
      <c r="K25" s="45"/>
      <c r="L25" s="45"/>
    </row>
    <row r="26" spans="2:14" ht="15">
      <c r="F26" s="56"/>
      <c r="I26" s="45"/>
      <c r="J26" s="45"/>
      <c r="K26" s="45"/>
      <c r="L26" s="45"/>
    </row>
    <row r="27" spans="2:14" ht="15">
      <c r="F27" s="56"/>
      <c r="I27" s="45"/>
      <c r="J27" s="45"/>
      <c r="K27" s="45"/>
      <c r="L27" s="45"/>
    </row>
    <row r="28" spans="2:14" ht="15">
      <c r="F28" s="56"/>
      <c r="I28" s="45"/>
      <c r="J28" s="45"/>
      <c r="K28" s="45"/>
      <c r="L28" s="45"/>
    </row>
    <row r="29" spans="2:14" ht="15">
      <c r="F29" s="56"/>
      <c r="I29" s="45"/>
      <c r="J29" s="45"/>
      <c r="K29" s="45"/>
      <c r="L29" s="45"/>
    </row>
    <row r="30" spans="2:14" ht="15">
      <c r="F30" s="56"/>
      <c r="I30" s="45"/>
      <c r="J30" s="45"/>
      <c r="K30" s="45"/>
      <c r="L30" s="45"/>
    </row>
    <row r="31" spans="2:14" ht="15">
      <c r="F31" s="56"/>
      <c r="I31" s="45"/>
      <c r="J31" s="45"/>
      <c r="K31" s="45"/>
      <c r="L31" s="45"/>
    </row>
    <row r="32" spans="2:14" ht="15">
      <c r="F32" s="56"/>
      <c r="I32" s="45"/>
      <c r="J32" s="45"/>
      <c r="K32" s="45"/>
      <c r="L32" s="45"/>
    </row>
    <row r="33" spans="2:14" ht="15">
      <c r="F33" s="56"/>
      <c r="I33" s="45"/>
      <c r="J33" s="45"/>
      <c r="K33" s="45"/>
      <c r="L33" s="45"/>
    </row>
    <row r="34" spans="2:14" ht="15">
      <c r="F34" s="56"/>
      <c r="I34" s="45"/>
      <c r="J34" s="45"/>
      <c r="K34" s="45"/>
      <c r="L34" s="45"/>
    </row>
    <row r="35" spans="2:14" ht="15">
      <c r="F35" s="56"/>
      <c r="I35" s="45"/>
      <c r="J35" s="45"/>
      <c r="K35" s="45"/>
      <c r="L35" s="45"/>
    </row>
    <row r="36" spans="2:14" ht="15">
      <c r="F36" s="56"/>
      <c r="I36" s="45"/>
      <c r="J36" s="45"/>
      <c r="K36" s="45"/>
      <c r="L36" s="45"/>
    </row>
    <row r="37" spans="2:14" ht="15">
      <c r="F37" s="56"/>
      <c r="I37" s="45"/>
      <c r="J37" s="45"/>
      <c r="K37" s="45"/>
      <c r="L37" s="45"/>
    </row>
    <row r="38" spans="2:14" ht="15">
      <c r="F38" s="56"/>
      <c r="I38" s="45"/>
      <c r="J38" s="45"/>
      <c r="K38" s="45"/>
      <c r="L38" s="45"/>
    </row>
    <row r="39" spans="2:14" ht="15">
      <c r="F39" s="56"/>
      <c r="I39" s="45"/>
      <c r="J39" s="45"/>
      <c r="K39" s="45"/>
      <c r="L39" s="45"/>
    </row>
    <row r="40" spans="2:14" ht="15">
      <c r="F40" s="56"/>
      <c r="I40" s="45"/>
      <c r="J40" s="45"/>
      <c r="K40" s="45"/>
      <c r="L40" s="45"/>
    </row>
    <row r="41" spans="2:14" ht="15">
      <c r="F41" s="56"/>
      <c r="I41" s="45"/>
      <c r="J41" s="45"/>
      <c r="K41" s="45"/>
      <c r="L41" s="45"/>
    </row>
    <row r="45" spans="2:14">
      <c r="B45" t="s">
        <v>70</v>
      </c>
    </row>
    <row r="47" spans="2:14">
      <c r="B47" t="s">
        <v>539</v>
      </c>
    </row>
    <row r="48" spans="2:14" s="694" customFormat="1" ht="14">
      <c r="B48" s="694" t="s">
        <v>542</v>
      </c>
      <c r="C48" s="695">
        <v>43682</v>
      </c>
      <c r="D48" s="1563" t="s">
        <v>540</v>
      </c>
      <c r="E48" s="1563"/>
      <c r="F48" s="1563"/>
      <c r="G48" s="1563"/>
      <c r="H48" s="1563"/>
      <c r="I48" s="1563"/>
      <c r="J48" s="1563"/>
      <c r="K48" s="1563"/>
      <c r="L48" s="1563"/>
      <c r="M48" s="1563"/>
      <c r="N48" s="1563"/>
    </row>
    <row r="49" spans="4:4">
      <c r="D49" t="s">
        <v>541</v>
      </c>
    </row>
  </sheetData>
  <mergeCells count="2">
    <mergeCell ref="B3:C3"/>
    <mergeCell ref="D48:N48"/>
  </mergeCells>
  <pageMargins left="0.31527777777777799" right="0.47430555555555598" top="0.78749999999999998" bottom="1.05277777777778" header="0.51180555555555496" footer="0.78749999999999998"/>
  <pageSetup paperSize="9" scale="86" firstPageNumber="0" orientation="landscape" r:id="rId1"/>
  <headerFooter>
    <oddFooter>&amp;C&amp;"Times New Roman,Regular"&amp;12Page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3:T63"/>
  <sheetViews>
    <sheetView zoomScale="60" zoomScaleNormal="60" workbookViewId="0">
      <selection activeCell="C10" sqref="C10"/>
    </sheetView>
  </sheetViews>
  <sheetFormatPr baseColWidth="10" defaultColWidth="8.83203125" defaultRowHeight="16"/>
  <cols>
    <col min="1" max="1" width="5.1640625" style="2" customWidth="1"/>
    <col min="2" max="2" width="5.33203125" style="3" customWidth="1"/>
    <col min="3" max="4" width="11.5"/>
    <col min="7" max="7" width="14.5" customWidth="1"/>
    <col min="8" max="17" width="11.5"/>
    <col min="18" max="18" width="16" customWidth="1"/>
    <col min="19" max="1027" width="11.5"/>
  </cols>
  <sheetData>
    <row r="3" spans="1:3">
      <c r="A3" s="2" t="s">
        <v>73</v>
      </c>
    </row>
    <row r="4" spans="1:3">
      <c r="B4" s="3" t="s">
        <v>563</v>
      </c>
    </row>
    <row r="7" spans="1:3">
      <c r="A7" s="2" t="s">
        <v>2</v>
      </c>
    </row>
    <row r="9" spans="1:3">
      <c r="B9" s="3" t="s">
        <v>568</v>
      </c>
    </row>
    <row r="10" spans="1:3">
      <c r="C10" t="s">
        <v>567</v>
      </c>
    </row>
    <row r="12" spans="1:3">
      <c r="B12" s="3" t="s">
        <v>564</v>
      </c>
    </row>
    <row r="14" spans="1:3">
      <c r="B14" s="3" t="s">
        <v>565</v>
      </c>
    </row>
    <row r="16" spans="1:3">
      <c r="B16" s="3" t="s">
        <v>566</v>
      </c>
    </row>
    <row r="19" spans="1:12">
      <c r="A19" s="2" t="s">
        <v>78</v>
      </c>
    </row>
    <row r="20" spans="1:12">
      <c r="C20" s="69" t="s">
        <v>569</v>
      </c>
    </row>
    <row r="21" spans="1:12">
      <c r="C21" s="69" t="s">
        <v>79</v>
      </c>
    </row>
    <row r="22" spans="1:12">
      <c r="E22" s="68"/>
      <c r="F22" s="68"/>
    </row>
    <row r="23" spans="1:12">
      <c r="C23" t="s">
        <v>570</v>
      </c>
    </row>
    <row r="24" spans="1:12">
      <c r="D24" t="s">
        <v>82</v>
      </c>
    </row>
    <row r="25" spans="1:12">
      <c r="D25" t="s">
        <v>572</v>
      </c>
    </row>
    <row r="27" spans="1:12">
      <c r="G27" s="1564" t="s">
        <v>83</v>
      </c>
      <c r="H27" s="1564"/>
    </row>
    <row r="28" spans="1:12">
      <c r="G28" t="s">
        <v>218</v>
      </c>
      <c r="H28" t="s">
        <v>217</v>
      </c>
      <c r="K28">
        <f>365*24</f>
        <v>8760</v>
      </c>
      <c r="L28" t="s">
        <v>219</v>
      </c>
    </row>
    <row r="29" spans="1:12">
      <c r="G29" t="s">
        <v>84</v>
      </c>
      <c r="H29" t="s">
        <v>85</v>
      </c>
    </row>
    <row r="30" spans="1:12">
      <c r="E30" t="s">
        <v>212</v>
      </c>
      <c r="H30" s="70">
        <v>0.75</v>
      </c>
      <c r="I30" s="1" t="s">
        <v>347</v>
      </c>
      <c r="J30" s="1">
        <v>1350</v>
      </c>
      <c r="K30" t="s">
        <v>346</v>
      </c>
    </row>
    <row r="31" spans="1:12">
      <c r="C31" t="s">
        <v>213</v>
      </c>
      <c r="E31" s="255">
        <f>G31/G$31</f>
        <v>1</v>
      </c>
      <c r="F31" s="340"/>
      <c r="G31">
        <v>2250</v>
      </c>
      <c r="H31" s="70"/>
    </row>
    <row r="32" spans="1:12">
      <c r="C32" t="s">
        <v>86</v>
      </c>
      <c r="E32" s="255">
        <f t="shared" ref="E32:E50" si="0">G32/G$31</f>
        <v>0.71111111111111114</v>
      </c>
      <c r="F32" s="340"/>
      <c r="G32">
        <v>1600</v>
      </c>
    </row>
    <row r="33" spans="3:20">
      <c r="C33" t="s">
        <v>220</v>
      </c>
      <c r="E33" s="255">
        <f t="shared" si="0"/>
        <v>0.84888888888888892</v>
      </c>
      <c r="F33" s="340"/>
      <c r="G33">
        <v>1910</v>
      </c>
      <c r="H33">
        <v>1450</v>
      </c>
      <c r="S33" t="s">
        <v>87</v>
      </c>
    </row>
    <row r="34" spans="3:20">
      <c r="C34" t="s">
        <v>88</v>
      </c>
      <c r="E34" s="255">
        <f t="shared" si="0"/>
        <v>0.9555555555555556</v>
      </c>
      <c r="F34" s="340"/>
      <c r="G34">
        <v>2150</v>
      </c>
      <c r="H34">
        <v>1696</v>
      </c>
      <c r="J34" s="68" t="s">
        <v>89</v>
      </c>
      <c r="K34" t="s">
        <v>90</v>
      </c>
      <c r="M34">
        <v>780</v>
      </c>
      <c r="N34" t="s">
        <v>91</v>
      </c>
      <c r="O34">
        <v>6300</v>
      </c>
      <c r="P34" t="s">
        <v>92</v>
      </c>
      <c r="Q34" s="71">
        <f>M34*1000/O34</f>
        <v>123.80952380952381</v>
      </c>
      <c r="R34" t="s">
        <v>93</v>
      </c>
      <c r="S34" s="72">
        <f>Q34/G34</f>
        <v>5.7585825027685493E-2</v>
      </c>
      <c r="T34" s="68" t="s">
        <v>94</v>
      </c>
    </row>
    <row r="35" spans="3:20">
      <c r="C35" t="s">
        <v>95</v>
      </c>
      <c r="E35" s="255">
        <f t="shared" si="0"/>
        <v>0.53333333333333333</v>
      </c>
      <c r="F35" s="340"/>
      <c r="G35">
        <v>1200</v>
      </c>
    </row>
    <row r="36" spans="3:20">
      <c r="C36" t="s">
        <v>96</v>
      </c>
      <c r="E36" s="255">
        <f t="shared" si="0"/>
        <v>0.44444444444444442</v>
      </c>
      <c r="F36" s="340"/>
      <c r="G36">
        <v>1000</v>
      </c>
    </row>
    <row r="37" spans="3:20">
      <c r="C37" t="s">
        <v>97</v>
      </c>
      <c r="E37" s="255">
        <f t="shared" si="0"/>
        <v>0.62222222222222223</v>
      </c>
      <c r="F37" s="340"/>
      <c r="G37">
        <v>1400</v>
      </c>
      <c r="J37" s="700" t="s">
        <v>546</v>
      </c>
    </row>
    <row r="38" spans="3:20">
      <c r="C38" t="s">
        <v>98</v>
      </c>
      <c r="E38" s="255">
        <f t="shared" si="0"/>
        <v>0.88888888888888884</v>
      </c>
      <c r="F38" s="340"/>
      <c r="G38">
        <v>2000</v>
      </c>
      <c r="H38">
        <v>1500</v>
      </c>
      <c r="J38" s="700" t="s">
        <v>549</v>
      </c>
    </row>
    <row r="39" spans="3:20">
      <c r="C39" t="s">
        <v>99</v>
      </c>
      <c r="E39" s="255">
        <f t="shared" si="0"/>
        <v>0.88888888888888884</v>
      </c>
      <c r="F39" s="340"/>
      <c r="G39">
        <v>2000</v>
      </c>
    </row>
    <row r="40" spans="3:20">
      <c r="C40" t="s">
        <v>100</v>
      </c>
      <c r="E40" s="255">
        <f t="shared" si="0"/>
        <v>0.8</v>
      </c>
      <c r="F40" s="340"/>
      <c r="G40">
        <v>1800</v>
      </c>
    </row>
    <row r="41" spans="3:20">
      <c r="C41" t="s">
        <v>101</v>
      </c>
      <c r="E41" s="255">
        <f t="shared" si="0"/>
        <v>0.97777777777777775</v>
      </c>
      <c r="F41" s="340"/>
      <c r="G41">
        <v>2200</v>
      </c>
    </row>
    <row r="42" spans="3:20">
      <c r="C42" t="s">
        <v>102</v>
      </c>
      <c r="E42" s="255">
        <f t="shared" si="0"/>
        <v>0.88888888888888884</v>
      </c>
      <c r="F42" s="340"/>
      <c r="G42">
        <v>2000</v>
      </c>
    </row>
    <row r="43" spans="3:20">
      <c r="C43" t="s">
        <v>103</v>
      </c>
      <c r="E43" s="255">
        <f t="shared" si="0"/>
        <v>0.88888888888888884</v>
      </c>
      <c r="F43" s="340"/>
      <c r="G43">
        <v>2000</v>
      </c>
    </row>
    <row r="44" spans="3:20">
      <c r="C44" t="s">
        <v>104</v>
      </c>
      <c r="E44" s="255">
        <f t="shared" si="0"/>
        <v>0.71111111111111114</v>
      </c>
      <c r="F44" s="340"/>
      <c r="G44">
        <v>1600</v>
      </c>
    </row>
    <row r="45" spans="3:20">
      <c r="C45" t="s">
        <v>105</v>
      </c>
      <c r="E45" s="255">
        <f t="shared" si="0"/>
        <v>0.48888888888888887</v>
      </c>
      <c r="F45" s="340"/>
      <c r="G45">
        <v>1100</v>
      </c>
    </row>
    <row r="46" spans="3:20">
      <c r="C46" t="s">
        <v>106</v>
      </c>
      <c r="E46" s="255">
        <f t="shared" si="0"/>
        <v>0.44444444444444442</v>
      </c>
      <c r="F46" s="340"/>
      <c r="G46">
        <v>1000</v>
      </c>
    </row>
    <row r="47" spans="3:20">
      <c r="C47" t="s">
        <v>11</v>
      </c>
      <c r="E47" s="255">
        <f t="shared" si="0"/>
        <v>0.44444444444444442</v>
      </c>
      <c r="F47" s="340"/>
      <c r="G47">
        <v>1000</v>
      </c>
    </row>
    <row r="48" spans="3:20">
      <c r="C48" t="s">
        <v>107</v>
      </c>
      <c r="E48" s="255">
        <f t="shared" si="0"/>
        <v>0.48888888888888887</v>
      </c>
      <c r="F48" s="340"/>
      <c r="G48">
        <v>1100</v>
      </c>
    </row>
    <row r="49" spans="1:11">
      <c r="C49" t="s">
        <v>108</v>
      </c>
      <c r="E49" s="255">
        <f t="shared" si="0"/>
        <v>0.48888888888888887</v>
      </c>
      <c r="F49" s="340"/>
      <c r="G49">
        <v>1100</v>
      </c>
    </row>
    <row r="50" spans="1:11">
      <c r="C50" t="s">
        <v>250</v>
      </c>
      <c r="E50" s="255">
        <f t="shared" si="0"/>
        <v>1.3333333333333333</v>
      </c>
      <c r="G50">
        <v>3000</v>
      </c>
      <c r="H50" t="s">
        <v>246</v>
      </c>
    </row>
    <row r="51" spans="1:11">
      <c r="E51" s="255"/>
    </row>
    <row r="52" spans="1:11">
      <c r="B52" s="3" t="s">
        <v>109</v>
      </c>
    </row>
    <row r="53" spans="1:11" ht="13">
      <c r="A53"/>
      <c r="B53"/>
      <c r="C53" s="68" t="s">
        <v>110</v>
      </c>
    </row>
    <row r="54" spans="1:11" ht="13">
      <c r="A54"/>
      <c r="B54"/>
      <c r="C54" s="68" t="s">
        <v>111</v>
      </c>
    </row>
    <row r="55" spans="1:11" ht="13">
      <c r="A55"/>
      <c r="B55"/>
      <c r="C55" s="68" t="s">
        <v>112</v>
      </c>
    </row>
    <row r="56" spans="1:11" ht="13">
      <c r="A56"/>
      <c r="B56"/>
      <c r="C56" t="s">
        <v>113</v>
      </c>
    </row>
    <row r="58" spans="1:11">
      <c r="B58" s="12" t="s">
        <v>114</v>
      </c>
      <c r="C58" s="73"/>
      <c r="D58" s="73"/>
      <c r="E58" s="73"/>
      <c r="F58" s="73"/>
      <c r="G58" s="73"/>
      <c r="H58" s="73"/>
      <c r="I58" s="73"/>
      <c r="J58" s="73"/>
      <c r="K58" s="73"/>
    </row>
    <row r="59" spans="1:11">
      <c r="B59" s="12"/>
      <c r="C59" s="74" t="s">
        <v>115</v>
      </c>
      <c r="D59" s="73"/>
      <c r="E59" s="73"/>
      <c r="F59" s="73"/>
      <c r="G59" s="73"/>
      <c r="H59" s="73"/>
      <c r="I59" s="73"/>
      <c r="J59" s="73"/>
      <c r="K59" s="73"/>
    </row>
    <row r="60" spans="1:11">
      <c r="B60" s="12"/>
      <c r="C60" s="74" t="s">
        <v>116</v>
      </c>
      <c r="D60" s="73"/>
      <c r="E60" s="73"/>
      <c r="F60" s="73"/>
      <c r="G60" s="73"/>
      <c r="H60" s="73"/>
      <c r="I60" s="73"/>
      <c r="J60" s="73"/>
      <c r="K60" s="73"/>
    </row>
    <row r="62" spans="1:11">
      <c r="A62" s="2" t="s">
        <v>117</v>
      </c>
    </row>
    <row r="63" spans="1:11">
      <c r="C63" t="s">
        <v>118</v>
      </c>
    </row>
  </sheetData>
  <mergeCells count="1">
    <mergeCell ref="G27:H27"/>
  </mergeCells>
  <hyperlinks>
    <hyperlink ref="J34" r:id="rId1" xr:uid="{00000000-0004-0000-1200-000000000000}"/>
    <hyperlink ref="T34" r:id="rId2" xr:uid="{00000000-0004-0000-1200-000001000000}"/>
    <hyperlink ref="C53" r:id="rId3" xr:uid="{00000000-0004-0000-1200-000002000000}"/>
    <hyperlink ref="C54" r:id="rId4" xr:uid="{00000000-0004-0000-1200-000003000000}"/>
    <hyperlink ref="C55" r:id="rId5" xr:uid="{00000000-0004-0000-1200-000004000000}"/>
    <hyperlink ref="C59" r:id="rId6" xr:uid="{00000000-0004-0000-1200-000005000000}"/>
    <hyperlink ref="C60" r:id="rId7" xr:uid="{00000000-0004-0000-1200-000006000000}"/>
  </hyperlinks>
  <pageMargins left="0.39374999999999999" right="0.39374999999999999" top="0.39374999999999999" bottom="0.65902777777777799" header="0.51180555555555496" footer="0.39374999999999999"/>
  <pageSetup paperSize="9" scale="60" firstPageNumber="0" orientation="portrait" r:id="rId8"/>
  <headerFooter>
    <oddFooter>&amp;C&amp;"Times New Roman,Regular"&amp;12Page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3:F30"/>
  <sheetViews>
    <sheetView zoomScale="90" zoomScaleNormal="90" workbookViewId="0">
      <selection activeCell="H35" sqref="H35"/>
    </sheetView>
  </sheetViews>
  <sheetFormatPr baseColWidth="10" defaultColWidth="8.83203125" defaultRowHeight="13"/>
  <cols>
    <col min="1" max="1" width="2.83203125" style="6" customWidth="1"/>
    <col min="2" max="2" width="10.1640625" style="6" customWidth="1"/>
    <col min="3" max="3" width="4.33203125" customWidth="1"/>
    <col min="4" max="4" width="68.33203125" customWidth="1"/>
    <col min="5" max="1026" width="11.5"/>
  </cols>
  <sheetData>
    <row r="3" spans="1:4">
      <c r="A3" s="491" t="s">
        <v>644</v>
      </c>
    </row>
    <row r="4" spans="1:4" ht="51.75" customHeight="1">
      <c r="B4" s="6" t="s">
        <v>542</v>
      </c>
      <c r="C4" s="1565" t="s">
        <v>573</v>
      </c>
      <c r="D4" s="1565"/>
    </row>
    <row r="5" spans="1:4">
      <c r="B5" s="6" t="s">
        <v>554</v>
      </c>
      <c r="C5" t="s">
        <v>74</v>
      </c>
    </row>
    <row r="6" spans="1:4">
      <c r="B6" s="6" t="s">
        <v>555</v>
      </c>
      <c r="C6" s="68" t="s">
        <v>75</v>
      </c>
    </row>
    <row r="7" spans="1:4">
      <c r="B7" s="6" t="s">
        <v>556</v>
      </c>
      <c r="C7" s="68" t="s">
        <v>76</v>
      </c>
    </row>
    <row r="8" spans="1:4">
      <c r="B8" s="6" t="s">
        <v>557</v>
      </c>
      <c r="C8" t="s">
        <v>69</v>
      </c>
    </row>
    <row r="9" spans="1:4">
      <c r="B9" s="6" t="s">
        <v>558</v>
      </c>
      <c r="C9" t="s">
        <v>70</v>
      </c>
    </row>
    <row r="10" spans="1:4">
      <c r="B10" s="6" t="s">
        <v>559</v>
      </c>
      <c r="C10" s="68" t="s">
        <v>77</v>
      </c>
    </row>
    <row r="11" spans="1:4">
      <c r="B11" s="6" t="s">
        <v>560</v>
      </c>
      <c r="C11" s="68" t="s">
        <v>80</v>
      </c>
    </row>
    <row r="12" spans="1:4">
      <c r="B12" s="6" t="s">
        <v>561</v>
      </c>
      <c r="C12" s="68" t="s">
        <v>81</v>
      </c>
    </row>
    <row r="13" spans="1:4">
      <c r="B13" s="6" t="s">
        <v>571</v>
      </c>
      <c r="C13" s="772" t="s">
        <v>592</v>
      </c>
    </row>
    <row r="14" spans="1:4">
      <c r="B14" s="6" t="s">
        <v>562</v>
      </c>
      <c r="C14" s="68" t="s">
        <v>128</v>
      </c>
    </row>
    <row r="15" spans="1:4">
      <c r="D15" t="s">
        <v>127</v>
      </c>
    </row>
    <row r="16" spans="1:4">
      <c r="D16" t="s">
        <v>129</v>
      </c>
    </row>
    <row r="20" spans="1:6">
      <c r="A20" s="491" t="s">
        <v>638</v>
      </c>
    </row>
    <row r="21" spans="1:6">
      <c r="B21" s="6" t="s">
        <v>639</v>
      </c>
      <c r="C21" s="68" t="s">
        <v>119</v>
      </c>
    </row>
    <row r="22" spans="1:6">
      <c r="B22" s="6" t="s">
        <v>640</v>
      </c>
      <c r="C22" s="68" t="s">
        <v>120</v>
      </c>
    </row>
    <row r="23" spans="1:6">
      <c r="B23" s="6" t="s">
        <v>641</v>
      </c>
      <c r="C23" s="68" t="s">
        <v>121</v>
      </c>
    </row>
    <row r="24" spans="1:6">
      <c r="B24" s="6" t="s">
        <v>642</v>
      </c>
      <c r="C24" t="s">
        <v>122</v>
      </c>
    </row>
    <row r="25" spans="1:6">
      <c r="D25" s="68" t="s">
        <v>123</v>
      </c>
    </row>
    <row r="26" spans="1:6">
      <c r="D26" t="s">
        <v>124</v>
      </c>
    </row>
    <row r="27" spans="1:6">
      <c r="B27" s="6" t="s">
        <v>643</v>
      </c>
      <c r="C27" s="73" t="s">
        <v>125</v>
      </c>
      <c r="D27" s="73"/>
      <c r="E27" s="73"/>
      <c r="F27" s="73"/>
    </row>
    <row r="28" spans="1:6">
      <c r="C28" s="73"/>
      <c r="D28" s="73" t="s">
        <v>126</v>
      </c>
      <c r="E28" s="73"/>
      <c r="F28" s="73"/>
    </row>
    <row r="30" spans="1:6">
      <c r="B30" s="375" t="s">
        <v>683</v>
      </c>
    </row>
  </sheetData>
  <mergeCells count="1">
    <mergeCell ref="C4:D4"/>
  </mergeCells>
  <hyperlinks>
    <hyperlink ref="C14" r:id="rId1" xr:uid="{00000000-0004-0000-1300-000000000000}"/>
    <hyperlink ref="C6" r:id="rId2" xr:uid="{00000000-0004-0000-1300-000001000000}"/>
    <hyperlink ref="C7" r:id="rId3" xr:uid="{00000000-0004-0000-1300-000002000000}"/>
    <hyperlink ref="C10" r:id="rId4" xr:uid="{00000000-0004-0000-1300-000003000000}"/>
    <hyperlink ref="C11" r:id="rId5" xr:uid="{00000000-0004-0000-1300-000004000000}"/>
    <hyperlink ref="C12" r:id="rId6" xr:uid="{00000000-0004-0000-1300-000005000000}"/>
    <hyperlink ref="C13" r:id="rId7" xr:uid="{00000000-0004-0000-1300-000006000000}"/>
    <hyperlink ref="D25" r:id="rId8" xr:uid="{00000000-0004-0000-1300-000007000000}"/>
    <hyperlink ref="C23" r:id="rId9" xr:uid="{00000000-0004-0000-1300-000008000000}"/>
    <hyperlink ref="C22" r:id="rId10" xr:uid="{00000000-0004-0000-1300-000009000000}"/>
    <hyperlink ref="C21" r:id="rId11" xr:uid="{00000000-0004-0000-1300-00000A000000}"/>
  </hyperlinks>
  <pageMargins left="0.78749999999999998" right="0.78749999999999998" top="1.05277777777778" bottom="1.05277777777778" header="0.78749999999999998" footer="0.78749999999999998"/>
  <pageSetup paperSize="9" firstPageNumber="0" orientation="portrait" r:id="rId12"/>
  <headerFooter>
    <oddHeader>&amp;C&amp;"Times New Roman,Regular"&amp;12&amp;A</oddHeader>
    <oddFooter>&amp;C&amp;"Times New Roman,Regular"&amp;12Page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B2:I52"/>
  <sheetViews>
    <sheetView topLeftCell="A7" workbookViewId="0">
      <selection activeCell="H35" sqref="H35"/>
    </sheetView>
  </sheetViews>
  <sheetFormatPr baseColWidth="10" defaultColWidth="13.1640625" defaultRowHeight="12"/>
  <cols>
    <col min="1" max="1" width="1.5" style="415" customWidth="1"/>
    <col min="2" max="2" width="7.1640625" style="415" customWidth="1"/>
    <col min="3" max="3" width="12.5" style="415" customWidth="1"/>
    <col min="4" max="4" width="18.5" style="415" customWidth="1"/>
    <col min="5" max="256" width="13.1640625" style="415"/>
    <col min="257" max="257" width="1.5" style="415" customWidth="1"/>
    <col min="258" max="258" width="7.1640625" style="415" customWidth="1"/>
    <col min="259" max="259" width="12.5" style="415" customWidth="1"/>
    <col min="260" max="260" width="18.5" style="415" customWidth="1"/>
    <col min="261" max="512" width="13.1640625" style="415"/>
    <col min="513" max="513" width="1.5" style="415" customWidth="1"/>
    <col min="514" max="514" width="7.1640625" style="415" customWidth="1"/>
    <col min="515" max="515" width="12.5" style="415" customWidth="1"/>
    <col min="516" max="516" width="18.5" style="415" customWidth="1"/>
    <col min="517" max="768" width="13.1640625" style="415"/>
    <col min="769" max="769" width="1.5" style="415" customWidth="1"/>
    <col min="770" max="770" width="7.1640625" style="415" customWidth="1"/>
    <col min="771" max="771" width="12.5" style="415" customWidth="1"/>
    <col min="772" max="772" width="18.5" style="415" customWidth="1"/>
    <col min="773" max="1024" width="13.1640625" style="415"/>
    <col min="1025" max="1025" width="1.5" style="415" customWidth="1"/>
    <col min="1026" max="1026" width="7.1640625" style="415" customWidth="1"/>
    <col min="1027" max="1027" width="12.5" style="415" customWidth="1"/>
    <col min="1028" max="1028" width="18.5" style="415" customWidth="1"/>
    <col min="1029" max="1280" width="13.1640625" style="415"/>
    <col min="1281" max="1281" width="1.5" style="415" customWidth="1"/>
    <col min="1282" max="1282" width="7.1640625" style="415" customWidth="1"/>
    <col min="1283" max="1283" width="12.5" style="415" customWidth="1"/>
    <col min="1284" max="1284" width="18.5" style="415" customWidth="1"/>
    <col min="1285" max="1536" width="13.1640625" style="415"/>
    <col min="1537" max="1537" width="1.5" style="415" customWidth="1"/>
    <col min="1538" max="1538" width="7.1640625" style="415" customWidth="1"/>
    <col min="1539" max="1539" width="12.5" style="415" customWidth="1"/>
    <col min="1540" max="1540" width="18.5" style="415" customWidth="1"/>
    <col min="1541" max="1792" width="13.1640625" style="415"/>
    <col min="1793" max="1793" width="1.5" style="415" customWidth="1"/>
    <col min="1794" max="1794" width="7.1640625" style="415" customWidth="1"/>
    <col min="1795" max="1795" width="12.5" style="415" customWidth="1"/>
    <col min="1796" max="1796" width="18.5" style="415" customWidth="1"/>
    <col min="1797" max="2048" width="13.1640625" style="415"/>
    <col min="2049" max="2049" width="1.5" style="415" customWidth="1"/>
    <col min="2050" max="2050" width="7.1640625" style="415" customWidth="1"/>
    <col min="2051" max="2051" width="12.5" style="415" customWidth="1"/>
    <col min="2052" max="2052" width="18.5" style="415" customWidth="1"/>
    <col min="2053" max="2304" width="13.1640625" style="415"/>
    <col min="2305" max="2305" width="1.5" style="415" customWidth="1"/>
    <col min="2306" max="2306" width="7.1640625" style="415" customWidth="1"/>
    <col min="2307" max="2307" width="12.5" style="415" customWidth="1"/>
    <col min="2308" max="2308" width="18.5" style="415" customWidth="1"/>
    <col min="2309" max="2560" width="13.1640625" style="415"/>
    <col min="2561" max="2561" width="1.5" style="415" customWidth="1"/>
    <col min="2562" max="2562" width="7.1640625" style="415" customWidth="1"/>
    <col min="2563" max="2563" width="12.5" style="415" customWidth="1"/>
    <col min="2564" max="2564" width="18.5" style="415" customWidth="1"/>
    <col min="2565" max="2816" width="13.1640625" style="415"/>
    <col min="2817" max="2817" width="1.5" style="415" customWidth="1"/>
    <col min="2818" max="2818" width="7.1640625" style="415" customWidth="1"/>
    <col min="2819" max="2819" width="12.5" style="415" customWidth="1"/>
    <col min="2820" max="2820" width="18.5" style="415" customWidth="1"/>
    <col min="2821" max="3072" width="13.1640625" style="415"/>
    <col min="3073" max="3073" width="1.5" style="415" customWidth="1"/>
    <col min="3074" max="3074" width="7.1640625" style="415" customWidth="1"/>
    <col min="3075" max="3075" width="12.5" style="415" customWidth="1"/>
    <col min="3076" max="3076" width="18.5" style="415" customWidth="1"/>
    <col min="3077" max="3328" width="13.1640625" style="415"/>
    <col min="3329" max="3329" width="1.5" style="415" customWidth="1"/>
    <col min="3330" max="3330" width="7.1640625" style="415" customWidth="1"/>
    <col min="3331" max="3331" width="12.5" style="415" customWidth="1"/>
    <col min="3332" max="3332" width="18.5" style="415" customWidth="1"/>
    <col min="3333" max="3584" width="13.1640625" style="415"/>
    <col min="3585" max="3585" width="1.5" style="415" customWidth="1"/>
    <col min="3586" max="3586" width="7.1640625" style="415" customWidth="1"/>
    <col min="3587" max="3587" width="12.5" style="415" customWidth="1"/>
    <col min="3588" max="3588" width="18.5" style="415" customWidth="1"/>
    <col min="3589" max="3840" width="13.1640625" style="415"/>
    <col min="3841" max="3841" width="1.5" style="415" customWidth="1"/>
    <col min="3842" max="3842" width="7.1640625" style="415" customWidth="1"/>
    <col min="3843" max="3843" width="12.5" style="415" customWidth="1"/>
    <col min="3844" max="3844" width="18.5" style="415" customWidth="1"/>
    <col min="3845" max="4096" width="13.1640625" style="415"/>
    <col min="4097" max="4097" width="1.5" style="415" customWidth="1"/>
    <col min="4098" max="4098" width="7.1640625" style="415" customWidth="1"/>
    <col min="4099" max="4099" width="12.5" style="415" customWidth="1"/>
    <col min="4100" max="4100" width="18.5" style="415" customWidth="1"/>
    <col min="4101" max="4352" width="13.1640625" style="415"/>
    <col min="4353" max="4353" width="1.5" style="415" customWidth="1"/>
    <col min="4354" max="4354" width="7.1640625" style="415" customWidth="1"/>
    <col min="4355" max="4355" width="12.5" style="415" customWidth="1"/>
    <col min="4356" max="4356" width="18.5" style="415" customWidth="1"/>
    <col min="4357" max="4608" width="13.1640625" style="415"/>
    <col min="4609" max="4609" width="1.5" style="415" customWidth="1"/>
    <col min="4610" max="4610" width="7.1640625" style="415" customWidth="1"/>
    <col min="4611" max="4611" width="12.5" style="415" customWidth="1"/>
    <col min="4612" max="4612" width="18.5" style="415" customWidth="1"/>
    <col min="4613" max="4864" width="13.1640625" style="415"/>
    <col min="4865" max="4865" width="1.5" style="415" customWidth="1"/>
    <col min="4866" max="4866" width="7.1640625" style="415" customWidth="1"/>
    <col min="4867" max="4867" width="12.5" style="415" customWidth="1"/>
    <col min="4868" max="4868" width="18.5" style="415" customWidth="1"/>
    <col min="4869" max="5120" width="13.1640625" style="415"/>
    <col min="5121" max="5121" width="1.5" style="415" customWidth="1"/>
    <col min="5122" max="5122" width="7.1640625" style="415" customWidth="1"/>
    <col min="5123" max="5123" width="12.5" style="415" customWidth="1"/>
    <col min="5124" max="5124" width="18.5" style="415" customWidth="1"/>
    <col min="5125" max="5376" width="13.1640625" style="415"/>
    <col min="5377" max="5377" width="1.5" style="415" customWidth="1"/>
    <col min="5378" max="5378" width="7.1640625" style="415" customWidth="1"/>
    <col min="5379" max="5379" width="12.5" style="415" customWidth="1"/>
    <col min="5380" max="5380" width="18.5" style="415" customWidth="1"/>
    <col min="5381" max="5632" width="13.1640625" style="415"/>
    <col min="5633" max="5633" width="1.5" style="415" customWidth="1"/>
    <col min="5634" max="5634" width="7.1640625" style="415" customWidth="1"/>
    <col min="5635" max="5635" width="12.5" style="415" customWidth="1"/>
    <col min="5636" max="5636" width="18.5" style="415" customWidth="1"/>
    <col min="5637" max="5888" width="13.1640625" style="415"/>
    <col min="5889" max="5889" width="1.5" style="415" customWidth="1"/>
    <col min="5890" max="5890" width="7.1640625" style="415" customWidth="1"/>
    <col min="5891" max="5891" width="12.5" style="415" customWidth="1"/>
    <col min="5892" max="5892" width="18.5" style="415" customWidth="1"/>
    <col min="5893" max="6144" width="13.1640625" style="415"/>
    <col min="6145" max="6145" width="1.5" style="415" customWidth="1"/>
    <col min="6146" max="6146" width="7.1640625" style="415" customWidth="1"/>
    <col min="6147" max="6147" width="12.5" style="415" customWidth="1"/>
    <col min="6148" max="6148" width="18.5" style="415" customWidth="1"/>
    <col min="6149" max="6400" width="13.1640625" style="415"/>
    <col min="6401" max="6401" width="1.5" style="415" customWidth="1"/>
    <col min="6402" max="6402" width="7.1640625" style="415" customWidth="1"/>
    <col min="6403" max="6403" width="12.5" style="415" customWidth="1"/>
    <col min="6404" max="6404" width="18.5" style="415" customWidth="1"/>
    <col min="6405" max="6656" width="13.1640625" style="415"/>
    <col min="6657" max="6657" width="1.5" style="415" customWidth="1"/>
    <col min="6658" max="6658" width="7.1640625" style="415" customWidth="1"/>
    <col min="6659" max="6659" width="12.5" style="415" customWidth="1"/>
    <col min="6660" max="6660" width="18.5" style="415" customWidth="1"/>
    <col min="6661" max="6912" width="13.1640625" style="415"/>
    <col min="6913" max="6913" width="1.5" style="415" customWidth="1"/>
    <col min="6914" max="6914" width="7.1640625" style="415" customWidth="1"/>
    <col min="6915" max="6915" width="12.5" style="415" customWidth="1"/>
    <col min="6916" max="6916" width="18.5" style="415" customWidth="1"/>
    <col min="6917" max="7168" width="13.1640625" style="415"/>
    <col min="7169" max="7169" width="1.5" style="415" customWidth="1"/>
    <col min="7170" max="7170" width="7.1640625" style="415" customWidth="1"/>
    <col min="7171" max="7171" width="12.5" style="415" customWidth="1"/>
    <col min="7172" max="7172" width="18.5" style="415" customWidth="1"/>
    <col min="7173" max="7424" width="13.1640625" style="415"/>
    <col min="7425" max="7425" width="1.5" style="415" customWidth="1"/>
    <col min="7426" max="7426" width="7.1640625" style="415" customWidth="1"/>
    <col min="7427" max="7427" width="12.5" style="415" customWidth="1"/>
    <col min="7428" max="7428" width="18.5" style="415" customWidth="1"/>
    <col min="7429" max="7680" width="13.1640625" style="415"/>
    <col min="7681" max="7681" width="1.5" style="415" customWidth="1"/>
    <col min="7682" max="7682" width="7.1640625" style="415" customWidth="1"/>
    <col min="7683" max="7683" width="12.5" style="415" customWidth="1"/>
    <col min="7684" max="7684" width="18.5" style="415" customWidth="1"/>
    <col min="7685" max="7936" width="13.1640625" style="415"/>
    <col min="7937" max="7937" width="1.5" style="415" customWidth="1"/>
    <col min="7938" max="7938" width="7.1640625" style="415" customWidth="1"/>
    <col min="7939" max="7939" width="12.5" style="415" customWidth="1"/>
    <col min="7940" max="7940" width="18.5" style="415" customWidth="1"/>
    <col min="7941" max="8192" width="13.1640625" style="415"/>
    <col min="8193" max="8193" width="1.5" style="415" customWidth="1"/>
    <col min="8194" max="8194" width="7.1640625" style="415" customWidth="1"/>
    <col min="8195" max="8195" width="12.5" style="415" customWidth="1"/>
    <col min="8196" max="8196" width="18.5" style="415" customWidth="1"/>
    <col min="8197" max="8448" width="13.1640625" style="415"/>
    <col min="8449" max="8449" width="1.5" style="415" customWidth="1"/>
    <col min="8450" max="8450" width="7.1640625" style="415" customWidth="1"/>
    <col min="8451" max="8451" width="12.5" style="415" customWidth="1"/>
    <col min="8452" max="8452" width="18.5" style="415" customWidth="1"/>
    <col min="8453" max="8704" width="13.1640625" style="415"/>
    <col min="8705" max="8705" width="1.5" style="415" customWidth="1"/>
    <col min="8706" max="8706" width="7.1640625" style="415" customWidth="1"/>
    <col min="8707" max="8707" width="12.5" style="415" customWidth="1"/>
    <col min="8708" max="8708" width="18.5" style="415" customWidth="1"/>
    <col min="8709" max="8960" width="13.1640625" style="415"/>
    <col min="8961" max="8961" width="1.5" style="415" customWidth="1"/>
    <col min="8962" max="8962" width="7.1640625" style="415" customWidth="1"/>
    <col min="8963" max="8963" width="12.5" style="415" customWidth="1"/>
    <col min="8964" max="8964" width="18.5" style="415" customWidth="1"/>
    <col min="8965" max="9216" width="13.1640625" style="415"/>
    <col min="9217" max="9217" width="1.5" style="415" customWidth="1"/>
    <col min="9218" max="9218" width="7.1640625" style="415" customWidth="1"/>
    <col min="9219" max="9219" width="12.5" style="415" customWidth="1"/>
    <col min="9220" max="9220" width="18.5" style="415" customWidth="1"/>
    <col min="9221" max="9472" width="13.1640625" style="415"/>
    <col min="9473" max="9473" width="1.5" style="415" customWidth="1"/>
    <col min="9474" max="9474" width="7.1640625" style="415" customWidth="1"/>
    <col min="9475" max="9475" width="12.5" style="415" customWidth="1"/>
    <col min="9476" max="9476" width="18.5" style="415" customWidth="1"/>
    <col min="9477" max="9728" width="13.1640625" style="415"/>
    <col min="9729" max="9729" width="1.5" style="415" customWidth="1"/>
    <col min="9730" max="9730" width="7.1640625" style="415" customWidth="1"/>
    <col min="9731" max="9731" width="12.5" style="415" customWidth="1"/>
    <col min="9732" max="9732" width="18.5" style="415" customWidth="1"/>
    <col min="9733" max="9984" width="13.1640625" style="415"/>
    <col min="9985" max="9985" width="1.5" style="415" customWidth="1"/>
    <col min="9986" max="9986" width="7.1640625" style="415" customWidth="1"/>
    <col min="9987" max="9987" width="12.5" style="415" customWidth="1"/>
    <col min="9988" max="9988" width="18.5" style="415" customWidth="1"/>
    <col min="9989" max="10240" width="13.1640625" style="415"/>
    <col min="10241" max="10241" width="1.5" style="415" customWidth="1"/>
    <col min="10242" max="10242" width="7.1640625" style="415" customWidth="1"/>
    <col min="10243" max="10243" width="12.5" style="415" customWidth="1"/>
    <col min="10244" max="10244" width="18.5" style="415" customWidth="1"/>
    <col min="10245" max="10496" width="13.1640625" style="415"/>
    <col min="10497" max="10497" width="1.5" style="415" customWidth="1"/>
    <col min="10498" max="10498" width="7.1640625" style="415" customWidth="1"/>
    <col min="10499" max="10499" width="12.5" style="415" customWidth="1"/>
    <col min="10500" max="10500" width="18.5" style="415" customWidth="1"/>
    <col min="10501" max="10752" width="13.1640625" style="415"/>
    <col min="10753" max="10753" width="1.5" style="415" customWidth="1"/>
    <col min="10754" max="10754" width="7.1640625" style="415" customWidth="1"/>
    <col min="10755" max="10755" width="12.5" style="415" customWidth="1"/>
    <col min="10756" max="10756" width="18.5" style="415" customWidth="1"/>
    <col min="10757" max="11008" width="13.1640625" style="415"/>
    <col min="11009" max="11009" width="1.5" style="415" customWidth="1"/>
    <col min="11010" max="11010" width="7.1640625" style="415" customWidth="1"/>
    <col min="11011" max="11011" width="12.5" style="415" customWidth="1"/>
    <col min="11012" max="11012" width="18.5" style="415" customWidth="1"/>
    <col min="11013" max="11264" width="13.1640625" style="415"/>
    <col min="11265" max="11265" width="1.5" style="415" customWidth="1"/>
    <col min="11266" max="11266" width="7.1640625" style="415" customWidth="1"/>
    <col min="11267" max="11267" width="12.5" style="415" customWidth="1"/>
    <col min="11268" max="11268" width="18.5" style="415" customWidth="1"/>
    <col min="11269" max="11520" width="13.1640625" style="415"/>
    <col min="11521" max="11521" width="1.5" style="415" customWidth="1"/>
    <col min="11522" max="11522" width="7.1640625" style="415" customWidth="1"/>
    <col min="11523" max="11523" width="12.5" style="415" customWidth="1"/>
    <col min="11524" max="11524" width="18.5" style="415" customWidth="1"/>
    <col min="11525" max="11776" width="13.1640625" style="415"/>
    <col min="11777" max="11777" width="1.5" style="415" customWidth="1"/>
    <col min="11778" max="11778" width="7.1640625" style="415" customWidth="1"/>
    <col min="11779" max="11779" width="12.5" style="415" customWidth="1"/>
    <col min="11780" max="11780" width="18.5" style="415" customWidth="1"/>
    <col min="11781" max="12032" width="13.1640625" style="415"/>
    <col min="12033" max="12033" width="1.5" style="415" customWidth="1"/>
    <col min="12034" max="12034" width="7.1640625" style="415" customWidth="1"/>
    <col min="12035" max="12035" width="12.5" style="415" customWidth="1"/>
    <col min="12036" max="12036" width="18.5" style="415" customWidth="1"/>
    <col min="12037" max="12288" width="13.1640625" style="415"/>
    <col min="12289" max="12289" width="1.5" style="415" customWidth="1"/>
    <col min="12290" max="12290" width="7.1640625" style="415" customWidth="1"/>
    <col min="12291" max="12291" width="12.5" style="415" customWidth="1"/>
    <col min="12292" max="12292" width="18.5" style="415" customWidth="1"/>
    <col min="12293" max="12544" width="13.1640625" style="415"/>
    <col min="12545" max="12545" width="1.5" style="415" customWidth="1"/>
    <col min="12546" max="12546" width="7.1640625" style="415" customWidth="1"/>
    <col min="12547" max="12547" width="12.5" style="415" customWidth="1"/>
    <col min="12548" max="12548" width="18.5" style="415" customWidth="1"/>
    <col min="12549" max="12800" width="13.1640625" style="415"/>
    <col min="12801" max="12801" width="1.5" style="415" customWidth="1"/>
    <col min="12802" max="12802" width="7.1640625" style="415" customWidth="1"/>
    <col min="12803" max="12803" width="12.5" style="415" customWidth="1"/>
    <col min="12804" max="12804" width="18.5" style="415" customWidth="1"/>
    <col min="12805" max="13056" width="13.1640625" style="415"/>
    <col min="13057" max="13057" width="1.5" style="415" customWidth="1"/>
    <col min="13058" max="13058" width="7.1640625" style="415" customWidth="1"/>
    <col min="13059" max="13059" width="12.5" style="415" customWidth="1"/>
    <col min="13060" max="13060" width="18.5" style="415" customWidth="1"/>
    <col min="13061" max="13312" width="13.1640625" style="415"/>
    <col min="13313" max="13313" width="1.5" style="415" customWidth="1"/>
    <col min="13314" max="13314" width="7.1640625" style="415" customWidth="1"/>
    <col min="13315" max="13315" width="12.5" style="415" customWidth="1"/>
    <col min="13316" max="13316" width="18.5" style="415" customWidth="1"/>
    <col min="13317" max="13568" width="13.1640625" style="415"/>
    <col min="13569" max="13569" width="1.5" style="415" customWidth="1"/>
    <col min="13570" max="13570" width="7.1640625" style="415" customWidth="1"/>
    <col min="13571" max="13571" width="12.5" style="415" customWidth="1"/>
    <col min="13572" max="13572" width="18.5" style="415" customWidth="1"/>
    <col min="13573" max="13824" width="13.1640625" style="415"/>
    <col min="13825" max="13825" width="1.5" style="415" customWidth="1"/>
    <col min="13826" max="13826" width="7.1640625" style="415" customWidth="1"/>
    <col min="13827" max="13827" width="12.5" style="415" customWidth="1"/>
    <col min="13828" max="13828" width="18.5" style="415" customWidth="1"/>
    <col min="13829" max="14080" width="13.1640625" style="415"/>
    <col min="14081" max="14081" width="1.5" style="415" customWidth="1"/>
    <col min="14082" max="14082" width="7.1640625" style="415" customWidth="1"/>
    <col min="14083" max="14083" width="12.5" style="415" customWidth="1"/>
    <col min="14084" max="14084" width="18.5" style="415" customWidth="1"/>
    <col min="14085" max="14336" width="13.1640625" style="415"/>
    <col min="14337" max="14337" width="1.5" style="415" customWidth="1"/>
    <col min="14338" max="14338" width="7.1640625" style="415" customWidth="1"/>
    <col min="14339" max="14339" width="12.5" style="415" customWidth="1"/>
    <col min="14340" max="14340" width="18.5" style="415" customWidth="1"/>
    <col min="14341" max="14592" width="13.1640625" style="415"/>
    <col min="14593" max="14593" width="1.5" style="415" customWidth="1"/>
    <col min="14594" max="14594" width="7.1640625" style="415" customWidth="1"/>
    <col min="14595" max="14595" width="12.5" style="415" customWidth="1"/>
    <col min="14596" max="14596" width="18.5" style="415" customWidth="1"/>
    <col min="14597" max="14848" width="13.1640625" style="415"/>
    <col min="14849" max="14849" width="1.5" style="415" customWidth="1"/>
    <col min="14850" max="14850" width="7.1640625" style="415" customWidth="1"/>
    <col min="14851" max="14851" width="12.5" style="415" customWidth="1"/>
    <col min="14852" max="14852" width="18.5" style="415" customWidth="1"/>
    <col min="14853" max="15104" width="13.1640625" style="415"/>
    <col min="15105" max="15105" width="1.5" style="415" customWidth="1"/>
    <col min="15106" max="15106" width="7.1640625" style="415" customWidth="1"/>
    <col min="15107" max="15107" width="12.5" style="415" customWidth="1"/>
    <col min="15108" max="15108" width="18.5" style="415" customWidth="1"/>
    <col min="15109" max="15360" width="13.1640625" style="415"/>
    <col min="15361" max="15361" width="1.5" style="415" customWidth="1"/>
    <col min="15362" max="15362" width="7.1640625" style="415" customWidth="1"/>
    <col min="15363" max="15363" width="12.5" style="415" customWidth="1"/>
    <col min="15364" max="15364" width="18.5" style="415" customWidth="1"/>
    <col min="15365" max="15616" width="13.1640625" style="415"/>
    <col min="15617" max="15617" width="1.5" style="415" customWidth="1"/>
    <col min="15618" max="15618" width="7.1640625" style="415" customWidth="1"/>
    <col min="15619" max="15619" width="12.5" style="415" customWidth="1"/>
    <col min="15620" max="15620" width="18.5" style="415" customWidth="1"/>
    <col min="15621" max="15872" width="13.1640625" style="415"/>
    <col min="15873" max="15873" width="1.5" style="415" customWidth="1"/>
    <col min="15874" max="15874" width="7.1640625" style="415" customWidth="1"/>
    <col min="15875" max="15875" width="12.5" style="415" customWidth="1"/>
    <col min="15876" max="15876" width="18.5" style="415" customWidth="1"/>
    <col min="15877" max="16128" width="13.1640625" style="415"/>
    <col min="16129" max="16129" width="1.5" style="415" customWidth="1"/>
    <col min="16130" max="16130" width="7.1640625" style="415" customWidth="1"/>
    <col min="16131" max="16131" width="12.5" style="415" customWidth="1"/>
    <col min="16132" max="16132" width="18.5" style="415" customWidth="1"/>
    <col min="16133" max="16384" width="13.1640625" style="415"/>
  </cols>
  <sheetData>
    <row r="2" spans="2:9" s="414" customFormat="1">
      <c r="B2" s="414" t="s">
        <v>268</v>
      </c>
      <c r="D2" s="414" t="s">
        <v>269</v>
      </c>
    </row>
    <row r="4" spans="2:9">
      <c r="B4" s="415" t="s">
        <v>270</v>
      </c>
      <c r="C4" s="416">
        <v>6.0219999999999996E+23</v>
      </c>
      <c r="D4" s="416"/>
      <c r="E4" s="415" t="s">
        <v>271</v>
      </c>
    </row>
    <row r="5" spans="2:9">
      <c r="B5" s="415" t="s">
        <v>272</v>
      </c>
      <c r="C5" s="416">
        <v>1.6021765700000002E-19</v>
      </c>
      <c r="D5" s="416" t="s">
        <v>273</v>
      </c>
      <c r="E5" s="415" t="s">
        <v>274</v>
      </c>
    </row>
    <row r="6" spans="2:9">
      <c r="B6" s="415" t="s">
        <v>275</v>
      </c>
      <c r="C6" s="417">
        <v>6.241E+18</v>
      </c>
      <c r="D6" s="415" t="s">
        <v>272</v>
      </c>
      <c r="E6" s="415" t="s">
        <v>273</v>
      </c>
    </row>
    <row r="7" spans="2:9">
      <c r="B7" s="415" t="s">
        <v>270</v>
      </c>
      <c r="C7" s="415">
        <v>1</v>
      </c>
      <c r="D7" s="415" t="s">
        <v>276</v>
      </c>
      <c r="E7" s="415" t="s">
        <v>277</v>
      </c>
    </row>
    <row r="8" spans="2:9">
      <c r="C8" s="417">
        <v>8.2057459999999995E-5</v>
      </c>
      <c r="D8" s="415" t="s">
        <v>278</v>
      </c>
      <c r="E8" s="415" t="s">
        <v>279</v>
      </c>
    </row>
    <row r="9" spans="2:9">
      <c r="C9" s="418">
        <v>0.20800000000000002</v>
      </c>
      <c r="E9" s="415" t="s">
        <v>280</v>
      </c>
    </row>
    <row r="10" spans="2:9">
      <c r="C10" s="419">
        <f>1*C8*300/1*1000</f>
        <v>24.617238</v>
      </c>
      <c r="D10" s="415" t="s">
        <v>262</v>
      </c>
      <c r="E10" s="415" t="s">
        <v>281</v>
      </c>
    </row>
    <row r="13" spans="2:9" ht="16">
      <c r="B13" s="1168" t="s">
        <v>282</v>
      </c>
      <c r="C13" s="1168"/>
      <c r="D13" s="1168"/>
      <c r="E13" s="1169"/>
      <c r="F13" s="1168"/>
      <c r="G13" s="1168"/>
      <c r="H13" s="1168"/>
      <c r="I13" s="1168"/>
    </row>
    <row r="14" spans="2:9">
      <c r="C14" s="1170">
        <v>1.1499999999999999</v>
      </c>
      <c r="D14" s="1170" t="s">
        <v>283</v>
      </c>
      <c r="E14" s="415" t="s">
        <v>284</v>
      </c>
    </row>
    <row r="15" spans="2:9">
      <c r="C15" s="1171">
        <f>1000/C14</f>
        <v>869.56521739130437</v>
      </c>
      <c r="D15" s="1172" t="s">
        <v>285</v>
      </c>
      <c r="E15" s="415" t="s">
        <v>286</v>
      </c>
    </row>
    <row r="16" spans="2:9">
      <c r="C16" s="416">
        <f>C15*C6*3600</f>
        <v>1.9537043478260873E+25</v>
      </c>
      <c r="E16" s="415" t="s">
        <v>287</v>
      </c>
    </row>
    <row r="17" spans="2:9">
      <c r="C17" s="1172">
        <v>4</v>
      </c>
      <c r="E17" s="415" t="s">
        <v>288</v>
      </c>
    </row>
    <row r="18" spans="2:9">
      <c r="C18" s="416">
        <f>C16/C17</f>
        <v>4.8842608695652183E+24</v>
      </c>
      <c r="E18" s="415" t="s">
        <v>289</v>
      </c>
    </row>
    <row r="19" spans="2:9">
      <c r="C19" s="420">
        <f>C18/C4</f>
        <v>8.1106955655350692</v>
      </c>
      <c r="E19" s="415" t="s">
        <v>290</v>
      </c>
    </row>
    <row r="20" spans="2:9">
      <c r="C20" s="420">
        <f>C19*C8*300/1</f>
        <v>0.19966292308232136</v>
      </c>
      <c r="D20" s="415" t="s">
        <v>175</v>
      </c>
      <c r="E20" s="415" t="s">
        <v>339</v>
      </c>
    </row>
    <row r="21" spans="2:9">
      <c r="C21" s="420">
        <f>C20/C9</f>
        <v>0.95991789943423722</v>
      </c>
      <c r="D21" s="415" t="s">
        <v>175</v>
      </c>
      <c r="E21" s="415" t="s">
        <v>291</v>
      </c>
    </row>
    <row r="23" spans="2:9" s="414" customFormat="1">
      <c r="B23" s="421" t="s">
        <v>292</v>
      </c>
      <c r="C23" s="422"/>
      <c r="D23" s="422"/>
      <c r="E23" s="422"/>
      <c r="F23" s="422"/>
      <c r="G23" s="422"/>
      <c r="H23" s="422"/>
      <c r="I23" s="423"/>
    </row>
    <row r="24" spans="2:9">
      <c r="B24" s="424"/>
      <c r="C24" s="425">
        <v>10</v>
      </c>
      <c r="D24" s="425" t="s">
        <v>160</v>
      </c>
      <c r="E24" s="415" t="s">
        <v>293</v>
      </c>
      <c r="I24" s="426"/>
    </row>
    <row r="25" spans="2:9">
      <c r="B25" s="424"/>
      <c r="C25" s="427">
        <f>C24/C14</f>
        <v>8.6956521739130448</v>
      </c>
      <c r="D25" s="428" t="s">
        <v>285</v>
      </c>
      <c r="E25" s="415" t="s">
        <v>293</v>
      </c>
      <c r="I25" s="426"/>
    </row>
    <row r="26" spans="2:9">
      <c r="B26" s="424"/>
      <c r="C26" s="429">
        <v>100</v>
      </c>
      <c r="D26" s="430" t="s">
        <v>132</v>
      </c>
      <c r="E26" s="415" t="s">
        <v>265</v>
      </c>
      <c r="I26" s="426"/>
    </row>
    <row r="27" spans="2:9">
      <c r="B27" s="424"/>
      <c r="C27" s="429">
        <v>1.7000000000000002</v>
      </c>
      <c r="D27" s="430" t="s">
        <v>133</v>
      </c>
      <c r="E27" s="415" t="s">
        <v>294</v>
      </c>
      <c r="I27" s="426"/>
    </row>
    <row r="28" spans="2:9">
      <c r="B28" s="424"/>
      <c r="C28" s="431">
        <f>C26*C27</f>
        <v>170.00000000000003</v>
      </c>
      <c r="D28" s="428" t="s">
        <v>295</v>
      </c>
      <c r="E28" s="428" t="s">
        <v>296</v>
      </c>
      <c r="I28" s="426"/>
    </row>
    <row r="29" spans="2:9">
      <c r="B29" s="424"/>
      <c r="C29" s="420">
        <f>C24/C26/C27</f>
        <v>5.8823529411764705E-2</v>
      </c>
      <c r="D29" s="415" t="s">
        <v>262</v>
      </c>
      <c r="E29" s="415" t="s">
        <v>297</v>
      </c>
      <c r="I29" s="426"/>
    </row>
    <row r="30" spans="2:9">
      <c r="B30" s="424"/>
      <c r="C30" s="419">
        <f>C20*1000*C25/C15</f>
        <v>1.9966292308232139</v>
      </c>
      <c r="D30" s="415" t="s">
        <v>262</v>
      </c>
      <c r="E30" s="415" t="s">
        <v>298</v>
      </c>
      <c r="I30" s="426"/>
    </row>
    <row r="31" spans="2:9">
      <c r="B31" s="424"/>
      <c r="C31" s="432">
        <f>C30/C29</f>
        <v>33.942696923994639</v>
      </c>
      <c r="D31" s="433" t="s">
        <v>299</v>
      </c>
      <c r="E31" s="415" t="s">
        <v>300</v>
      </c>
      <c r="I31" s="426"/>
    </row>
    <row r="32" spans="2:9">
      <c r="B32" s="424"/>
      <c r="C32" s="431">
        <f>C31+1</f>
        <v>34.942696923994639</v>
      </c>
      <c r="D32" s="428" t="s">
        <v>299</v>
      </c>
      <c r="E32" s="415" t="s">
        <v>301</v>
      </c>
      <c r="I32" s="426"/>
    </row>
    <row r="33" spans="2:9">
      <c r="B33" s="434">
        <f>1/C32</f>
        <v>2.861828330466715E-2</v>
      </c>
      <c r="C33" s="431">
        <f>C$26*C$27/C32</f>
        <v>4.8651081617934162</v>
      </c>
      <c r="D33" s="428" t="s">
        <v>295</v>
      </c>
      <c r="E33" s="428" t="s">
        <v>302</v>
      </c>
      <c r="I33" s="426"/>
    </row>
    <row r="34" spans="2:9">
      <c r="B34" s="424"/>
      <c r="I34" s="426"/>
    </row>
    <row r="35" spans="2:9">
      <c r="B35" s="424"/>
      <c r="C35" s="435">
        <v>10</v>
      </c>
      <c r="D35" s="435" t="s">
        <v>303</v>
      </c>
      <c r="E35" s="415" t="s">
        <v>304</v>
      </c>
      <c r="I35" s="426"/>
    </row>
    <row r="36" spans="2:9">
      <c r="B36" s="424"/>
      <c r="C36" s="420">
        <f>C$30/C35</f>
        <v>0.19966292308232139</v>
      </c>
      <c r="D36" s="415" t="s">
        <v>262</v>
      </c>
      <c r="E36" s="415" t="s">
        <v>298</v>
      </c>
      <c r="I36" s="426"/>
    </row>
    <row r="37" spans="2:9">
      <c r="B37" s="424"/>
      <c r="C37" s="436">
        <f>C36/C$29</f>
        <v>3.3942696923994635</v>
      </c>
      <c r="D37" s="433" t="s">
        <v>299</v>
      </c>
      <c r="E37" s="415" t="s">
        <v>300</v>
      </c>
      <c r="I37" s="426"/>
    </row>
    <row r="38" spans="2:9">
      <c r="B38" s="424"/>
      <c r="C38" s="437">
        <f>C37+1</f>
        <v>4.3942696923994635</v>
      </c>
      <c r="D38" s="438" t="s">
        <v>299</v>
      </c>
      <c r="E38" s="415" t="s">
        <v>301</v>
      </c>
      <c r="I38" s="426"/>
    </row>
    <row r="39" spans="2:9">
      <c r="B39" s="434">
        <f>1/C38</f>
        <v>0.22756910021468352</v>
      </c>
      <c r="C39" s="431">
        <f>C$26*C$27/C38</f>
        <v>38.6867470364962</v>
      </c>
      <c r="D39" s="428" t="s">
        <v>295</v>
      </c>
      <c r="E39" s="428" t="s">
        <v>302</v>
      </c>
      <c r="I39" s="426"/>
    </row>
    <row r="40" spans="2:9">
      <c r="B40" s="424"/>
      <c r="I40" s="426"/>
    </row>
    <row r="41" spans="2:9">
      <c r="B41" s="424"/>
      <c r="C41" s="435">
        <v>30</v>
      </c>
      <c r="D41" s="435" t="s">
        <v>303</v>
      </c>
      <c r="E41" s="415" t="s">
        <v>304</v>
      </c>
      <c r="I41" s="426"/>
    </row>
    <row r="42" spans="2:9">
      <c r="B42" s="424"/>
      <c r="C42" s="420">
        <f>C$30/C41</f>
        <v>6.6554307694107126E-2</v>
      </c>
      <c r="D42" s="415" t="s">
        <v>262</v>
      </c>
      <c r="E42" s="415" t="s">
        <v>298</v>
      </c>
      <c r="I42" s="426"/>
    </row>
    <row r="43" spans="2:9">
      <c r="B43" s="424"/>
      <c r="C43" s="436">
        <f>C42/C$29</f>
        <v>1.1314232307998211</v>
      </c>
      <c r="D43" s="433" t="s">
        <v>299</v>
      </c>
      <c r="E43" s="415" t="s">
        <v>300</v>
      </c>
      <c r="I43" s="426"/>
    </row>
    <row r="44" spans="2:9">
      <c r="B44" s="424"/>
      <c r="C44" s="437">
        <f>C43+1</f>
        <v>2.1314232307998209</v>
      </c>
      <c r="D44" s="438" t="s">
        <v>299</v>
      </c>
      <c r="E44" s="415" t="s">
        <v>301</v>
      </c>
      <c r="I44" s="426"/>
    </row>
    <row r="45" spans="2:9">
      <c r="B45" s="434">
        <f>1/C44</f>
        <v>0.4691700763835383</v>
      </c>
      <c r="C45" s="431">
        <f>C$26*C$27/C44</f>
        <v>79.758912985201533</v>
      </c>
      <c r="D45" s="428" t="s">
        <v>295</v>
      </c>
      <c r="E45" s="428" t="s">
        <v>302</v>
      </c>
      <c r="I45" s="426"/>
    </row>
    <row r="46" spans="2:9">
      <c r="B46" s="424"/>
      <c r="I46" s="426"/>
    </row>
    <row r="47" spans="2:9">
      <c r="B47" s="424"/>
      <c r="C47" s="435">
        <v>100</v>
      </c>
      <c r="D47" s="435" t="s">
        <v>303</v>
      </c>
      <c r="E47" s="415" t="s">
        <v>304</v>
      </c>
      <c r="I47" s="426"/>
    </row>
    <row r="48" spans="2:9">
      <c r="B48" s="424"/>
      <c r="C48" s="420">
        <f>C$30/C47</f>
        <v>1.9966292308232138E-2</v>
      </c>
      <c r="D48" s="415" t="s">
        <v>262</v>
      </c>
      <c r="E48" s="415" t="s">
        <v>298</v>
      </c>
      <c r="I48" s="426"/>
    </row>
    <row r="49" spans="2:9">
      <c r="B49" s="424"/>
      <c r="C49" s="436">
        <f>C48/C$29</f>
        <v>0.33942696923994636</v>
      </c>
      <c r="D49" s="433" t="s">
        <v>299</v>
      </c>
      <c r="E49" s="415" t="s">
        <v>300</v>
      </c>
      <c r="I49" s="426"/>
    </row>
    <row r="50" spans="2:9">
      <c r="B50" s="424"/>
      <c r="C50" s="437">
        <f>C49+1</f>
        <v>1.3394269692399463</v>
      </c>
      <c r="D50" s="438" t="s">
        <v>299</v>
      </c>
      <c r="E50" s="415" t="s">
        <v>301</v>
      </c>
      <c r="I50" s="426"/>
    </row>
    <row r="51" spans="2:9">
      <c r="B51" s="434">
        <f>1/C50</f>
        <v>0.74658792376522543</v>
      </c>
      <c r="C51" s="431">
        <f>C$26*C$27/C50</f>
        <v>126.91994704008835</v>
      </c>
      <c r="D51" s="428" t="s">
        <v>295</v>
      </c>
      <c r="E51" s="428" t="s">
        <v>302</v>
      </c>
      <c r="I51" s="426"/>
    </row>
    <row r="52" spans="2:9">
      <c r="B52" s="439"/>
      <c r="C52" s="440"/>
      <c r="D52" s="440"/>
      <c r="E52" s="440"/>
      <c r="F52" s="440"/>
      <c r="G52" s="440"/>
      <c r="H52" s="440"/>
      <c r="I52" s="441"/>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G28"/>
  <sheetViews>
    <sheetView zoomScale="80" zoomScaleNormal="80" workbookViewId="0">
      <selection activeCell="H35" sqref="H35"/>
    </sheetView>
  </sheetViews>
  <sheetFormatPr baseColWidth="10" defaultColWidth="12.5" defaultRowHeight="16"/>
  <cols>
    <col min="1" max="1" width="5.5" style="445" customWidth="1"/>
    <col min="2" max="2" width="56.6640625" style="445" customWidth="1"/>
    <col min="3" max="3" width="13.5" style="451" customWidth="1"/>
    <col min="4" max="256" width="12.5" style="445"/>
    <col min="257" max="257" width="5.5" style="445" customWidth="1"/>
    <col min="258" max="258" width="56.6640625" style="445" customWidth="1"/>
    <col min="259" max="259" width="13.5" style="445" customWidth="1"/>
    <col min="260" max="512" width="12.5" style="445"/>
    <col min="513" max="513" width="5.5" style="445" customWidth="1"/>
    <col min="514" max="514" width="56.6640625" style="445" customWidth="1"/>
    <col min="515" max="515" width="13.5" style="445" customWidth="1"/>
    <col min="516" max="768" width="12.5" style="445"/>
    <col min="769" max="769" width="5.5" style="445" customWidth="1"/>
    <col min="770" max="770" width="56.6640625" style="445" customWidth="1"/>
    <col min="771" max="771" width="13.5" style="445" customWidth="1"/>
    <col min="772" max="1024" width="12.5" style="445"/>
    <col min="1025" max="1025" width="5.5" style="445" customWidth="1"/>
    <col min="1026" max="1026" width="56.6640625" style="445" customWidth="1"/>
    <col min="1027" max="1027" width="13.5" style="445" customWidth="1"/>
    <col min="1028" max="1280" width="12.5" style="445"/>
    <col min="1281" max="1281" width="5.5" style="445" customWidth="1"/>
    <col min="1282" max="1282" width="56.6640625" style="445" customWidth="1"/>
    <col min="1283" max="1283" width="13.5" style="445" customWidth="1"/>
    <col min="1284" max="1536" width="12.5" style="445"/>
    <col min="1537" max="1537" width="5.5" style="445" customWidth="1"/>
    <col min="1538" max="1538" width="56.6640625" style="445" customWidth="1"/>
    <col min="1539" max="1539" width="13.5" style="445" customWidth="1"/>
    <col min="1540" max="1792" width="12.5" style="445"/>
    <col min="1793" max="1793" width="5.5" style="445" customWidth="1"/>
    <col min="1794" max="1794" width="56.6640625" style="445" customWidth="1"/>
    <col min="1795" max="1795" width="13.5" style="445" customWidth="1"/>
    <col min="1796" max="2048" width="12.5" style="445"/>
    <col min="2049" max="2049" width="5.5" style="445" customWidth="1"/>
    <col min="2050" max="2050" width="56.6640625" style="445" customWidth="1"/>
    <col min="2051" max="2051" width="13.5" style="445" customWidth="1"/>
    <col min="2052" max="2304" width="12.5" style="445"/>
    <col min="2305" max="2305" width="5.5" style="445" customWidth="1"/>
    <col min="2306" max="2306" width="56.6640625" style="445" customWidth="1"/>
    <col min="2307" max="2307" width="13.5" style="445" customWidth="1"/>
    <col min="2308" max="2560" width="12.5" style="445"/>
    <col min="2561" max="2561" width="5.5" style="445" customWidth="1"/>
    <col min="2562" max="2562" width="56.6640625" style="445" customWidth="1"/>
    <col min="2563" max="2563" width="13.5" style="445" customWidth="1"/>
    <col min="2564" max="2816" width="12.5" style="445"/>
    <col min="2817" max="2817" width="5.5" style="445" customWidth="1"/>
    <col min="2818" max="2818" width="56.6640625" style="445" customWidth="1"/>
    <col min="2819" max="2819" width="13.5" style="445" customWidth="1"/>
    <col min="2820" max="3072" width="12.5" style="445"/>
    <col min="3073" max="3073" width="5.5" style="445" customWidth="1"/>
    <col min="3074" max="3074" width="56.6640625" style="445" customWidth="1"/>
    <col min="3075" max="3075" width="13.5" style="445" customWidth="1"/>
    <col min="3076" max="3328" width="12.5" style="445"/>
    <col min="3329" max="3329" width="5.5" style="445" customWidth="1"/>
    <col min="3330" max="3330" width="56.6640625" style="445" customWidth="1"/>
    <col min="3331" max="3331" width="13.5" style="445" customWidth="1"/>
    <col min="3332" max="3584" width="12.5" style="445"/>
    <col min="3585" max="3585" width="5.5" style="445" customWidth="1"/>
    <col min="3586" max="3586" width="56.6640625" style="445" customWidth="1"/>
    <col min="3587" max="3587" width="13.5" style="445" customWidth="1"/>
    <col min="3588" max="3840" width="12.5" style="445"/>
    <col min="3841" max="3841" width="5.5" style="445" customWidth="1"/>
    <col min="3842" max="3842" width="56.6640625" style="445" customWidth="1"/>
    <col min="3843" max="3843" width="13.5" style="445" customWidth="1"/>
    <col min="3844" max="4096" width="12.5" style="445"/>
    <col min="4097" max="4097" width="5.5" style="445" customWidth="1"/>
    <col min="4098" max="4098" width="56.6640625" style="445" customWidth="1"/>
    <col min="4099" max="4099" width="13.5" style="445" customWidth="1"/>
    <col min="4100" max="4352" width="12.5" style="445"/>
    <col min="4353" max="4353" width="5.5" style="445" customWidth="1"/>
    <col min="4354" max="4354" width="56.6640625" style="445" customWidth="1"/>
    <col min="4355" max="4355" width="13.5" style="445" customWidth="1"/>
    <col min="4356" max="4608" width="12.5" style="445"/>
    <col min="4609" max="4609" width="5.5" style="445" customWidth="1"/>
    <col min="4610" max="4610" width="56.6640625" style="445" customWidth="1"/>
    <col min="4611" max="4611" width="13.5" style="445" customWidth="1"/>
    <col min="4612" max="4864" width="12.5" style="445"/>
    <col min="4865" max="4865" width="5.5" style="445" customWidth="1"/>
    <col min="4866" max="4866" width="56.6640625" style="445" customWidth="1"/>
    <col min="4867" max="4867" width="13.5" style="445" customWidth="1"/>
    <col min="4868" max="5120" width="12.5" style="445"/>
    <col min="5121" max="5121" width="5.5" style="445" customWidth="1"/>
    <col min="5122" max="5122" width="56.6640625" style="445" customWidth="1"/>
    <col min="5123" max="5123" width="13.5" style="445" customWidth="1"/>
    <col min="5124" max="5376" width="12.5" style="445"/>
    <col min="5377" max="5377" width="5.5" style="445" customWidth="1"/>
    <col min="5378" max="5378" width="56.6640625" style="445" customWidth="1"/>
    <col min="5379" max="5379" width="13.5" style="445" customWidth="1"/>
    <col min="5380" max="5632" width="12.5" style="445"/>
    <col min="5633" max="5633" width="5.5" style="445" customWidth="1"/>
    <col min="5634" max="5634" width="56.6640625" style="445" customWidth="1"/>
    <col min="5635" max="5635" width="13.5" style="445" customWidth="1"/>
    <col min="5636" max="5888" width="12.5" style="445"/>
    <col min="5889" max="5889" width="5.5" style="445" customWidth="1"/>
    <col min="5890" max="5890" width="56.6640625" style="445" customWidth="1"/>
    <col min="5891" max="5891" width="13.5" style="445" customWidth="1"/>
    <col min="5892" max="6144" width="12.5" style="445"/>
    <col min="6145" max="6145" width="5.5" style="445" customWidth="1"/>
    <col min="6146" max="6146" width="56.6640625" style="445" customWidth="1"/>
    <col min="6147" max="6147" width="13.5" style="445" customWidth="1"/>
    <col min="6148" max="6400" width="12.5" style="445"/>
    <col min="6401" max="6401" width="5.5" style="445" customWidth="1"/>
    <col min="6402" max="6402" width="56.6640625" style="445" customWidth="1"/>
    <col min="6403" max="6403" width="13.5" style="445" customWidth="1"/>
    <col min="6404" max="6656" width="12.5" style="445"/>
    <col min="6657" max="6657" width="5.5" style="445" customWidth="1"/>
    <col min="6658" max="6658" width="56.6640625" style="445" customWidth="1"/>
    <col min="6659" max="6659" width="13.5" style="445" customWidth="1"/>
    <col min="6660" max="6912" width="12.5" style="445"/>
    <col min="6913" max="6913" width="5.5" style="445" customWidth="1"/>
    <col min="6914" max="6914" width="56.6640625" style="445" customWidth="1"/>
    <col min="6915" max="6915" width="13.5" style="445" customWidth="1"/>
    <col min="6916" max="7168" width="12.5" style="445"/>
    <col min="7169" max="7169" width="5.5" style="445" customWidth="1"/>
    <col min="7170" max="7170" width="56.6640625" style="445" customWidth="1"/>
    <col min="7171" max="7171" width="13.5" style="445" customWidth="1"/>
    <col min="7172" max="7424" width="12.5" style="445"/>
    <col min="7425" max="7425" width="5.5" style="445" customWidth="1"/>
    <col min="7426" max="7426" width="56.6640625" style="445" customWidth="1"/>
    <col min="7427" max="7427" width="13.5" style="445" customWidth="1"/>
    <col min="7428" max="7680" width="12.5" style="445"/>
    <col min="7681" max="7681" width="5.5" style="445" customWidth="1"/>
    <col min="7682" max="7682" width="56.6640625" style="445" customWidth="1"/>
    <col min="7683" max="7683" width="13.5" style="445" customWidth="1"/>
    <col min="7684" max="7936" width="12.5" style="445"/>
    <col min="7937" max="7937" width="5.5" style="445" customWidth="1"/>
    <col min="7938" max="7938" width="56.6640625" style="445" customWidth="1"/>
    <col min="7939" max="7939" width="13.5" style="445" customWidth="1"/>
    <col min="7940" max="8192" width="12.5" style="445"/>
    <col min="8193" max="8193" width="5.5" style="445" customWidth="1"/>
    <col min="8194" max="8194" width="56.6640625" style="445" customWidth="1"/>
    <col min="8195" max="8195" width="13.5" style="445" customWidth="1"/>
    <col min="8196" max="8448" width="12.5" style="445"/>
    <col min="8449" max="8449" width="5.5" style="445" customWidth="1"/>
    <col min="8450" max="8450" width="56.6640625" style="445" customWidth="1"/>
    <col min="8451" max="8451" width="13.5" style="445" customWidth="1"/>
    <col min="8452" max="8704" width="12.5" style="445"/>
    <col min="8705" max="8705" width="5.5" style="445" customWidth="1"/>
    <col min="8706" max="8706" width="56.6640625" style="445" customWidth="1"/>
    <col min="8707" max="8707" width="13.5" style="445" customWidth="1"/>
    <col min="8708" max="8960" width="12.5" style="445"/>
    <col min="8961" max="8961" width="5.5" style="445" customWidth="1"/>
    <col min="8962" max="8962" width="56.6640625" style="445" customWidth="1"/>
    <col min="8963" max="8963" width="13.5" style="445" customWidth="1"/>
    <col min="8964" max="9216" width="12.5" style="445"/>
    <col min="9217" max="9217" width="5.5" style="445" customWidth="1"/>
    <col min="9218" max="9218" width="56.6640625" style="445" customWidth="1"/>
    <col min="9219" max="9219" width="13.5" style="445" customWidth="1"/>
    <col min="9220" max="9472" width="12.5" style="445"/>
    <col min="9473" max="9473" width="5.5" style="445" customWidth="1"/>
    <col min="9474" max="9474" width="56.6640625" style="445" customWidth="1"/>
    <col min="9475" max="9475" width="13.5" style="445" customWidth="1"/>
    <col min="9476" max="9728" width="12.5" style="445"/>
    <col min="9729" max="9729" width="5.5" style="445" customWidth="1"/>
    <col min="9730" max="9730" width="56.6640625" style="445" customWidth="1"/>
    <col min="9731" max="9731" width="13.5" style="445" customWidth="1"/>
    <col min="9732" max="9984" width="12.5" style="445"/>
    <col min="9985" max="9985" width="5.5" style="445" customWidth="1"/>
    <col min="9986" max="9986" width="56.6640625" style="445" customWidth="1"/>
    <col min="9987" max="9987" width="13.5" style="445" customWidth="1"/>
    <col min="9988" max="10240" width="12.5" style="445"/>
    <col min="10241" max="10241" width="5.5" style="445" customWidth="1"/>
    <col min="10242" max="10242" width="56.6640625" style="445" customWidth="1"/>
    <col min="10243" max="10243" width="13.5" style="445" customWidth="1"/>
    <col min="10244" max="10496" width="12.5" style="445"/>
    <col min="10497" max="10497" width="5.5" style="445" customWidth="1"/>
    <col min="10498" max="10498" width="56.6640625" style="445" customWidth="1"/>
    <col min="10499" max="10499" width="13.5" style="445" customWidth="1"/>
    <col min="10500" max="10752" width="12.5" style="445"/>
    <col min="10753" max="10753" width="5.5" style="445" customWidth="1"/>
    <col min="10754" max="10754" width="56.6640625" style="445" customWidth="1"/>
    <col min="10755" max="10755" width="13.5" style="445" customWidth="1"/>
    <col min="10756" max="11008" width="12.5" style="445"/>
    <col min="11009" max="11009" width="5.5" style="445" customWidth="1"/>
    <col min="11010" max="11010" width="56.6640625" style="445" customWidth="1"/>
    <col min="11011" max="11011" width="13.5" style="445" customWidth="1"/>
    <col min="11012" max="11264" width="12.5" style="445"/>
    <col min="11265" max="11265" width="5.5" style="445" customWidth="1"/>
    <col min="11266" max="11266" width="56.6640625" style="445" customWidth="1"/>
    <col min="11267" max="11267" width="13.5" style="445" customWidth="1"/>
    <col min="11268" max="11520" width="12.5" style="445"/>
    <col min="11521" max="11521" width="5.5" style="445" customWidth="1"/>
    <col min="11522" max="11522" width="56.6640625" style="445" customWidth="1"/>
    <col min="11523" max="11523" width="13.5" style="445" customWidth="1"/>
    <col min="11524" max="11776" width="12.5" style="445"/>
    <col min="11777" max="11777" width="5.5" style="445" customWidth="1"/>
    <col min="11778" max="11778" width="56.6640625" style="445" customWidth="1"/>
    <col min="11779" max="11779" width="13.5" style="445" customWidth="1"/>
    <col min="11780" max="12032" width="12.5" style="445"/>
    <col min="12033" max="12033" width="5.5" style="445" customWidth="1"/>
    <col min="12034" max="12034" width="56.6640625" style="445" customWidth="1"/>
    <col min="12035" max="12035" width="13.5" style="445" customWidth="1"/>
    <col min="12036" max="12288" width="12.5" style="445"/>
    <col min="12289" max="12289" width="5.5" style="445" customWidth="1"/>
    <col min="12290" max="12290" width="56.6640625" style="445" customWidth="1"/>
    <col min="12291" max="12291" width="13.5" style="445" customWidth="1"/>
    <col min="12292" max="12544" width="12.5" style="445"/>
    <col min="12545" max="12545" width="5.5" style="445" customWidth="1"/>
    <col min="12546" max="12546" width="56.6640625" style="445" customWidth="1"/>
    <col min="12547" max="12547" width="13.5" style="445" customWidth="1"/>
    <col min="12548" max="12800" width="12.5" style="445"/>
    <col min="12801" max="12801" width="5.5" style="445" customWidth="1"/>
    <col min="12802" max="12802" width="56.6640625" style="445" customWidth="1"/>
    <col min="12803" max="12803" width="13.5" style="445" customWidth="1"/>
    <col min="12804" max="13056" width="12.5" style="445"/>
    <col min="13057" max="13057" width="5.5" style="445" customWidth="1"/>
    <col min="13058" max="13058" width="56.6640625" style="445" customWidth="1"/>
    <col min="13059" max="13059" width="13.5" style="445" customWidth="1"/>
    <col min="13060" max="13312" width="12.5" style="445"/>
    <col min="13313" max="13313" width="5.5" style="445" customWidth="1"/>
    <col min="13314" max="13314" width="56.6640625" style="445" customWidth="1"/>
    <col min="13315" max="13315" width="13.5" style="445" customWidth="1"/>
    <col min="13316" max="13568" width="12.5" style="445"/>
    <col min="13569" max="13569" width="5.5" style="445" customWidth="1"/>
    <col min="13570" max="13570" width="56.6640625" style="445" customWidth="1"/>
    <col min="13571" max="13571" width="13.5" style="445" customWidth="1"/>
    <col min="13572" max="13824" width="12.5" style="445"/>
    <col min="13825" max="13825" width="5.5" style="445" customWidth="1"/>
    <col min="13826" max="13826" width="56.6640625" style="445" customWidth="1"/>
    <col min="13827" max="13827" width="13.5" style="445" customWidth="1"/>
    <col min="13828" max="14080" width="12.5" style="445"/>
    <col min="14081" max="14081" width="5.5" style="445" customWidth="1"/>
    <col min="14082" max="14082" width="56.6640625" style="445" customWidth="1"/>
    <col min="14083" max="14083" width="13.5" style="445" customWidth="1"/>
    <col min="14084" max="14336" width="12.5" style="445"/>
    <col min="14337" max="14337" width="5.5" style="445" customWidth="1"/>
    <col min="14338" max="14338" width="56.6640625" style="445" customWidth="1"/>
    <col min="14339" max="14339" width="13.5" style="445" customWidth="1"/>
    <col min="14340" max="14592" width="12.5" style="445"/>
    <col min="14593" max="14593" width="5.5" style="445" customWidth="1"/>
    <col min="14594" max="14594" width="56.6640625" style="445" customWidth="1"/>
    <col min="14595" max="14595" width="13.5" style="445" customWidth="1"/>
    <col min="14596" max="14848" width="12.5" style="445"/>
    <col min="14849" max="14849" width="5.5" style="445" customWidth="1"/>
    <col min="14850" max="14850" width="56.6640625" style="445" customWidth="1"/>
    <col min="14851" max="14851" width="13.5" style="445" customWidth="1"/>
    <col min="14852" max="15104" width="12.5" style="445"/>
    <col min="15105" max="15105" width="5.5" style="445" customWidth="1"/>
    <col min="15106" max="15106" width="56.6640625" style="445" customWidth="1"/>
    <col min="15107" max="15107" width="13.5" style="445" customWidth="1"/>
    <col min="15108" max="15360" width="12.5" style="445"/>
    <col min="15361" max="15361" width="5.5" style="445" customWidth="1"/>
    <col min="15362" max="15362" width="56.6640625" style="445" customWidth="1"/>
    <col min="15363" max="15363" width="13.5" style="445" customWidth="1"/>
    <col min="15364" max="15616" width="12.5" style="445"/>
    <col min="15617" max="15617" width="5.5" style="445" customWidth="1"/>
    <col min="15618" max="15618" width="56.6640625" style="445" customWidth="1"/>
    <col min="15619" max="15619" width="13.5" style="445" customWidth="1"/>
    <col min="15620" max="15872" width="12.5" style="445"/>
    <col min="15873" max="15873" width="5.5" style="445" customWidth="1"/>
    <col min="15874" max="15874" width="56.6640625" style="445" customWidth="1"/>
    <col min="15875" max="15875" width="13.5" style="445" customWidth="1"/>
    <col min="15876" max="16128" width="12.5" style="445"/>
    <col min="16129" max="16129" width="5.5" style="445" customWidth="1"/>
    <col min="16130" max="16130" width="56.6640625" style="445" customWidth="1"/>
    <col min="16131" max="16131" width="13.5" style="445" customWidth="1"/>
    <col min="16132" max="16384" width="12.5" style="445"/>
  </cols>
  <sheetData>
    <row r="1" spans="1:7">
      <c r="A1" s="442" t="s">
        <v>305</v>
      </c>
      <c r="B1" s="443"/>
      <c r="C1" s="444"/>
      <c r="D1" s="443"/>
    </row>
    <row r="2" spans="1:7">
      <c r="A2" s="446"/>
      <c r="B2" s="446" t="s">
        <v>306</v>
      </c>
      <c r="C2" s="447">
        <v>26.8</v>
      </c>
      <c r="D2" s="446" t="s">
        <v>797</v>
      </c>
    </row>
    <row r="3" spans="1:7" ht="18">
      <c r="A3" s="446"/>
      <c r="B3" s="446" t="s">
        <v>307</v>
      </c>
      <c r="C3" s="852">
        <v>22400</v>
      </c>
      <c r="D3" s="446" t="s">
        <v>308</v>
      </c>
    </row>
    <row r="4" spans="1:7">
      <c r="A4" s="446"/>
      <c r="B4" s="446" t="s">
        <v>309</v>
      </c>
      <c r="C4" s="448">
        <v>0.2</v>
      </c>
      <c r="D4" s="446"/>
    </row>
    <row r="5" spans="1:7">
      <c r="A5" s="446"/>
      <c r="B5" s="446" t="s">
        <v>310</v>
      </c>
      <c r="C5" s="447">
        <v>4</v>
      </c>
      <c r="D5" s="446" t="s">
        <v>311</v>
      </c>
    </row>
    <row r="7" spans="1:7">
      <c r="A7" s="442" t="s">
        <v>312</v>
      </c>
      <c r="B7" s="443"/>
      <c r="C7" s="444"/>
      <c r="D7" s="443"/>
    </row>
    <row r="8" spans="1:7">
      <c r="A8" s="446"/>
      <c r="B8" s="446" t="s">
        <v>258</v>
      </c>
      <c r="C8" s="447">
        <v>9.1</v>
      </c>
      <c r="D8" s="446" t="s">
        <v>313</v>
      </c>
    </row>
    <row r="9" spans="1:7">
      <c r="A9" s="446"/>
      <c r="B9" s="446" t="s">
        <v>314</v>
      </c>
      <c r="C9" s="447">
        <v>16.3</v>
      </c>
      <c r="D9" s="446" t="s">
        <v>313</v>
      </c>
      <c r="G9" s="851"/>
    </row>
    <row r="10" spans="1:7">
      <c r="A10" s="446"/>
      <c r="B10" s="446" t="s">
        <v>315</v>
      </c>
      <c r="C10" s="1167">
        <v>0.30000000000000004</v>
      </c>
      <c r="D10" s="446" t="s">
        <v>313</v>
      </c>
    </row>
    <row r="11" spans="1:7" ht="18">
      <c r="A11" s="446"/>
      <c r="B11" s="446" t="s">
        <v>316</v>
      </c>
      <c r="C11" s="449">
        <f>C10*C9*C8</f>
        <v>44.499000000000002</v>
      </c>
      <c r="D11" s="446" t="s">
        <v>308</v>
      </c>
    </row>
    <row r="12" spans="1:7" ht="18">
      <c r="A12" s="446"/>
      <c r="B12" s="446" t="s">
        <v>317</v>
      </c>
      <c r="C12" s="449">
        <f>C8*C9*2</f>
        <v>296.66000000000003</v>
      </c>
      <c r="D12" s="446" t="s">
        <v>318</v>
      </c>
    </row>
    <row r="14" spans="1:7">
      <c r="A14" s="442" t="s">
        <v>319</v>
      </c>
      <c r="B14" s="443"/>
      <c r="C14" s="444"/>
      <c r="D14" s="443"/>
    </row>
    <row r="15" spans="1:7" ht="18">
      <c r="A15" s="446"/>
      <c r="B15" s="446" t="s">
        <v>320</v>
      </c>
      <c r="C15" s="1167">
        <v>30</v>
      </c>
      <c r="D15" s="446" t="s">
        <v>321</v>
      </c>
    </row>
    <row r="16" spans="1:7">
      <c r="A16" s="446"/>
      <c r="B16" s="446" t="s">
        <v>322</v>
      </c>
      <c r="C16" s="449">
        <f>C15*C12/1000</f>
        <v>8.8998000000000008</v>
      </c>
      <c r="D16" s="446" t="s">
        <v>323</v>
      </c>
    </row>
    <row r="18" spans="1:4">
      <c r="A18" s="442" t="s">
        <v>324</v>
      </c>
      <c r="B18" s="443"/>
      <c r="C18" s="444"/>
      <c r="D18" s="443"/>
    </row>
    <row r="19" spans="1:4" ht="18">
      <c r="A19" s="446"/>
      <c r="B19" s="446" t="s">
        <v>325</v>
      </c>
      <c r="C19" s="449">
        <f>C3/(C5*C2)</f>
        <v>208.955223880597</v>
      </c>
      <c r="D19" s="446" t="s">
        <v>326</v>
      </c>
    </row>
    <row r="20" spans="1:4" ht="18">
      <c r="A20" s="446"/>
      <c r="B20" s="446" t="s">
        <v>327</v>
      </c>
      <c r="C20" s="449">
        <f>C19/C4</f>
        <v>1044.7761194029849</v>
      </c>
      <c r="D20" s="446" t="s">
        <v>326</v>
      </c>
    </row>
    <row r="21" spans="1:4" ht="18">
      <c r="A21" s="446"/>
      <c r="B21" s="446" t="s">
        <v>328</v>
      </c>
      <c r="C21" s="449">
        <f>C20*C16</f>
        <v>9298.2985074626868</v>
      </c>
      <c r="D21" s="446" t="s">
        <v>329</v>
      </c>
    </row>
    <row r="22" spans="1:4">
      <c r="A22" s="446"/>
      <c r="B22" s="446" t="s">
        <v>330</v>
      </c>
      <c r="C22" s="449">
        <f>C21/C11</f>
        <v>208.955223880597</v>
      </c>
      <c r="D22" s="446" t="s">
        <v>331</v>
      </c>
    </row>
    <row r="23" spans="1:4">
      <c r="A23" s="446"/>
      <c r="B23" s="446" t="s">
        <v>332</v>
      </c>
      <c r="C23" s="449">
        <f>C22*C8</f>
        <v>1901.4925373134326</v>
      </c>
      <c r="D23" s="446" t="s">
        <v>333</v>
      </c>
    </row>
    <row r="24" spans="1:4">
      <c r="A24" s="446"/>
      <c r="B24" s="446" t="s">
        <v>334</v>
      </c>
      <c r="C24" s="450">
        <f>C23/100000</f>
        <v>1.9014925373134327E-2</v>
      </c>
      <c r="D24" s="446" t="s">
        <v>335</v>
      </c>
    </row>
    <row r="26" spans="1:4">
      <c r="B26" s="446" t="s">
        <v>336</v>
      </c>
      <c r="C26" s="451">
        <f>C21/(C9*C10)</f>
        <v>1901.4925373134326</v>
      </c>
      <c r="D26" s="446" t="s">
        <v>333</v>
      </c>
    </row>
    <row r="27" spans="1:4">
      <c r="B27" s="452" t="s">
        <v>337</v>
      </c>
      <c r="C27" s="453">
        <f>C26/100000</f>
        <v>1.9014925373134327E-2</v>
      </c>
      <c r="D27" s="446" t="s">
        <v>335</v>
      </c>
    </row>
    <row r="28" spans="1:4">
      <c r="B28" s="452" t="s">
        <v>337</v>
      </c>
      <c r="C28" s="451">
        <f>C26/3600</f>
        <v>0.52819237147595355</v>
      </c>
      <c r="D28" s="446" t="s">
        <v>338</v>
      </c>
    </row>
  </sheetData>
  <sheetProtection selectLockedCells="1" selectUnlockedCells="1"/>
  <pageMargins left="0.7" right="0.7" top="0.75" bottom="0.75" header="0.51180555555555551" footer="0.51180555555555551"/>
  <pageSetup firstPageNumber="0" orientation="portrait" horizontalDpi="300" verticalDpi="300"/>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B4:W27"/>
  <sheetViews>
    <sheetView workbookViewId="0">
      <selection activeCell="C14" sqref="C14"/>
    </sheetView>
  </sheetViews>
  <sheetFormatPr baseColWidth="10" defaultColWidth="6.6640625" defaultRowHeight="12"/>
  <cols>
    <col min="1" max="1" width="3" style="530" customWidth="1"/>
    <col min="2" max="2" width="36" style="530" customWidth="1"/>
    <col min="3" max="4" width="6.6640625" style="664"/>
    <col min="5" max="5" width="6.83203125" style="664" customWidth="1"/>
    <col min="6" max="22" width="6.6640625" style="664"/>
    <col min="23" max="16384" width="6.6640625" style="530"/>
  </cols>
  <sheetData>
    <row r="4" spans="2:22">
      <c r="B4" s="849" t="s">
        <v>636</v>
      </c>
      <c r="C4" s="850"/>
      <c r="D4" s="850"/>
      <c r="E4" s="850"/>
      <c r="F4" s="850"/>
      <c r="G4" s="850"/>
    </row>
    <row r="5" spans="2:22">
      <c r="B5" s="530">
        <v>1</v>
      </c>
      <c r="C5" s="664" t="s">
        <v>401</v>
      </c>
      <c r="D5" s="664">
        <v>305</v>
      </c>
      <c r="E5" s="664" t="s">
        <v>255</v>
      </c>
    </row>
    <row r="6" spans="2:22">
      <c r="B6" s="530">
        <v>1</v>
      </c>
      <c r="C6" s="664" t="s">
        <v>634</v>
      </c>
      <c r="D6" s="664">
        <v>25.4</v>
      </c>
      <c r="E6" s="664" t="s">
        <v>255</v>
      </c>
    </row>
    <row r="9" spans="2:22">
      <c r="B9" s="849" t="s">
        <v>637</v>
      </c>
      <c r="C9" s="668"/>
      <c r="D9" s="668"/>
      <c r="E9" s="668"/>
      <c r="F9" s="668"/>
      <c r="G9" s="668"/>
      <c r="H9" s="530"/>
      <c r="I9" s="530"/>
      <c r="J9" s="530"/>
      <c r="K9" s="530"/>
      <c r="L9" s="530"/>
      <c r="M9" s="530"/>
      <c r="N9" s="530"/>
      <c r="O9" s="530"/>
      <c r="P9" s="530"/>
      <c r="Q9" s="530"/>
      <c r="R9" s="530"/>
      <c r="S9" s="530"/>
      <c r="T9" s="530"/>
      <c r="U9" s="530"/>
      <c r="V9" s="530"/>
    </row>
    <row r="10" spans="2:22" s="846" customFormat="1" ht="19.5" customHeight="1">
      <c r="B10" s="848" t="str">
        <f>'DropDown menus'!C3</f>
        <v>EUR2USD yearly progress</v>
      </c>
      <c r="C10" s="845">
        <f ca="1">EUR2USD_evol</f>
        <v>0</v>
      </c>
    </row>
    <row r="11" spans="2:22" s="844" customFormat="1" ht="19.5" customHeight="1">
      <c r="B11" s="847" t="str">
        <f>'DropDown menus'!$X$3</f>
        <v>Region</v>
      </c>
      <c r="C11" s="829"/>
      <c r="D11" s="829"/>
      <c r="E11" s="829"/>
      <c r="F11" s="829"/>
      <c r="G11" s="829"/>
      <c r="H11" s="829"/>
      <c r="I11" s="829"/>
      <c r="J11" s="829"/>
      <c r="K11" s="829"/>
      <c r="L11" s="829"/>
      <c r="M11" s="829"/>
      <c r="N11" s="829"/>
      <c r="O11" s="829"/>
      <c r="P11" s="829"/>
      <c r="Q11" s="829"/>
      <c r="R11" s="829"/>
      <c r="S11" s="829"/>
      <c r="T11" s="829"/>
      <c r="U11" s="829"/>
      <c r="V11" s="829"/>
    </row>
    <row r="12" spans="2:22" s="846" customFormat="1" ht="19.5" customHeight="1">
      <c r="B12" s="848" t="s">
        <v>525</v>
      </c>
      <c r="C12" s="845">
        <f ca="1">'TCO Solar Farm-Containers'!P77</f>
        <v>-7.5127813981430425E-3</v>
      </c>
    </row>
    <row r="13" spans="2:22" s="846" customFormat="1" ht="19.5" customHeight="1">
      <c r="B13" s="848" t="str">
        <f>'TCO Solar Farm-Containers'!Q80</f>
        <v>Inflation rate</v>
      </c>
      <c r="C13" s="845">
        <f ca="1">'DropDown menus'!F9</f>
        <v>0.02</v>
      </c>
    </row>
    <row r="14" spans="2:22" s="846" customFormat="1" ht="19.5" customHeight="1">
      <c r="B14" s="848" t="str">
        <f>'TCO Solar Farm-Containers'!Q81</f>
        <v>WACC nominal</v>
      </c>
      <c r="C14" s="845">
        <f ca="1">'DropDown menus'!I9</f>
        <v>0.04</v>
      </c>
    </row>
    <row r="15" spans="2:22" s="846" customFormat="1" ht="19.5" customHeight="1">
      <c r="B15" s="848" t="s">
        <v>633</v>
      </c>
      <c r="C15" s="845">
        <f ca="1">C14-C13</f>
        <v>0.02</v>
      </c>
    </row>
    <row r="17" spans="2:23">
      <c r="B17" s="849" t="s">
        <v>514</v>
      </c>
      <c r="C17" s="668"/>
      <c r="D17" s="668"/>
      <c r="E17" s="668"/>
      <c r="F17" s="668"/>
      <c r="G17" s="668"/>
      <c r="H17" s="668"/>
      <c r="I17" s="668"/>
      <c r="J17" s="668"/>
      <c r="K17" s="668"/>
      <c r="L17" s="668"/>
      <c r="M17" s="668"/>
      <c r="N17" s="668"/>
      <c r="O17" s="668"/>
      <c r="P17" s="668"/>
      <c r="Q17" s="668"/>
      <c r="R17" s="668"/>
      <c r="S17" s="668"/>
      <c r="T17" s="668"/>
      <c r="U17" s="668"/>
      <c r="V17" s="668"/>
      <c r="W17" s="668"/>
    </row>
    <row r="18" spans="2:23">
      <c r="B18" s="665" t="s">
        <v>624</v>
      </c>
      <c r="C18" s="664">
        <v>2020</v>
      </c>
      <c r="D18" s="664">
        <f>1+C18</f>
        <v>2021</v>
      </c>
      <c r="E18" s="664">
        <f t="shared" ref="E18:S18" si="0">1+D18</f>
        <v>2022</v>
      </c>
      <c r="F18" s="664">
        <f t="shared" si="0"/>
        <v>2023</v>
      </c>
      <c r="G18" s="664">
        <f t="shared" si="0"/>
        <v>2024</v>
      </c>
      <c r="H18" s="664">
        <f t="shared" si="0"/>
        <v>2025</v>
      </c>
      <c r="I18" s="664">
        <f t="shared" si="0"/>
        <v>2026</v>
      </c>
      <c r="J18" s="664">
        <f t="shared" si="0"/>
        <v>2027</v>
      </c>
      <c r="K18" s="664">
        <f t="shared" si="0"/>
        <v>2028</v>
      </c>
      <c r="L18" s="664">
        <f t="shared" si="0"/>
        <v>2029</v>
      </c>
      <c r="M18" s="664">
        <f t="shared" si="0"/>
        <v>2030</v>
      </c>
      <c r="N18" s="664">
        <f t="shared" si="0"/>
        <v>2031</v>
      </c>
      <c r="O18" s="664">
        <f t="shared" si="0"/>
        <v>2032</v>
      </c>
      <c r="P18" s="664">
        <f t="shared" si="0"/>
        <v>2033</v>
      </c>
      <c r="Q18" s="664">
        <f t="shared" si="0"/>
        <v>2034</v>
      </c>
      <c r="R18" s="664">
        <f t="shared" si="0"/>
        <v>2035</v>
      </c>
      <c r="S18" s="664">
        <f t="shared" si="0"/>
        <v>2036</v>
      </c>
      <c r="T18" s="664">
        <f>1+S18</f>
        <v>2037</v>
      </c>
      <c r="U18" s="664">
        <f>1+T18</f>
        <v>2038</v>
      </c>
      <c r="V18" s="664">
        <f>1+U18</f>
        <v>2039</v>
      </c>
    </row>
    <row r="19" spans="2:23">
      <c r="C19" s="666">
        <v>1.1000000000000001</v>
      </c>
      <c r="D19" s="827">
        <f t="shared" ref="D19:V19" ca="1" si="1">C19*(1+opt_EUR2USD_evol)</f>
        <v>1.1000000000000001</v>
      </c>
      <c r="E19" s="827">
        <f t="shared" ca="1" si="1"/>
        <v>1.1000000000000001</v>
      </c>
      <c r="F19" s="827">
        <f t="shared" ca="1" si="1"/>
        <v>1.1000000000000001</v>
      </c>
      <c r="G19" s="827">
        <f t="shared" ca="1" si="1"/>
        <v>1.1000000000000001</v>
      </c>
      <c r="H19" s="827">
        <f t="shared" ca="1" si="1"/>
        <v>1.1000000000000001</v>
      </c>
      <c r="I19" s="827">
        <f t="shared" ca="1" si="1"/>
        <v>1.1000000000000001</v>
      </c>
      <c r="J19" s="827">
        <f t="shared" ca="1" si="1"/>
        <v>1.1000000000000001</v>
      </c>
      <c r="K19" s="827">
        <f t="shared" ca="1" si="1"/>
        <v>1.1000000000000001</v>
      </c>
      <c r="L19" s="827">
        <f t="shared" ca="1" si="1"/>
        <v>1.1000000000000001</v>
      </c>
      <c r="M19" s="827">
        <f t="shared" ca="1" si="1"/>
        <v>1.1000000000000001</v>
      </c>
      <c r="N19" s="827">
        <f t="shared" ca="1" si="1"/>
        <v>1.1000000000000001</v>
      </c>
      <c r="O19" s="827">
        <f t="shared" ca="1" si="1"/>
        <v>1.1000000000000001</v>
      </c>
      <c r="P19" s="827">
        <f t="shared" ca="1" si="1"/>
        <v>1.1000000000000001</v>
      </c>
      <c r="Q19" s="827">
        <f t="shared" ca="1" si="1"/>
        <v>1.1000000000000001</v>
      </c>
      <c r="R19" s="827">
        <f t="shared" ca="1" si="1"/>
        <v>1.1000000000000001</v>
      </c>
      <c r="S19" s="827">
        <f t="shared" ca="1" si="1"/>
        <v>1.1000000000000001</v>
      </c>
      <c r="T19" s="827">
        <f t="shared" ca="1" si="1"/>
        <v>1.1000000000000001</v>
      </c>
      <c r="U19" s="827">
        <f t="shared" ca="1" si="1"/>
        <v>1.1000000000000001</v>
      </c>
      <c r="V19" s="827">
        <f t="shared" ca="1" si="1"/>
        <v>1.1000000000000001</v>
      </c>
    </row>
    <row r="20" spans="2:23">
      <c r="C20" s="666"/>
      <c r="D20" s="827"/>
      <c r="E20" s="827"/>
      <c r="F20" s="827"/>
      <c r="G20" s="827"/>
      <c r="H20" s="827"/>
      <c r="I20" s="827"/>
      <c r="J20" s="827"/>
      <c r="K20" s="827"/>
      <c r="L20" s="827"/>
      <c r="M20" s="827"/>
      <c r="N20" s="827"/>
      <c r="O20" s="827"/>
      <c r="P20" s="827"/>
      <c r="Q20" s="827"/>
      <c r="R20" s="827"/>
      <c r="S20" s="827"/>
      <c r="T20" s="827"/>
      <c r="U20" s="827"/>
      <c r="V20" s="827"/>
    </row>
    <row r="21" spans="2:23">
      <c r="D21" s="664">
        <v>1</v>
      </c>
      <c r="E21" s="664">
        <f>D21+1</f>
        <v>2</v>
      </c>
      <c r="F21" s="664">
        <f t="shared" ref="F21:T21" si="2">E21+1</f>
        <v>3</v>
      </c>
      <c r="G21" s="664">
        <f t="shared" si="2"/>
        <v>4</v>
      </c>
      <c r="H21" s="664">
        <f t="shared" si="2"/>
        <v>5</v>
      </c>
      <c r="I21" s="664">
        <f t="shared" si="2"/>
        <v>6</v>
      </c>
      <c r="J21" s="664">
        <f t="shared" si="2"/>
        <v>7</v>
      </c>
      <c r="K21" s="664">
        <f t="shared" si="2"/>
        <v>8</v>
      </c>
      <c r="L21" s="664">
        <f t="shared" si="2"/>
        <v>9</v>
      </c>
      <c r="M21" s="664">
        <f t="shared" si="2"/>
        <v>10</v>
      </c>
      <c r="N21" s="664">
        <f t="shared" si="2"/>
        <v>11</v>
      </c>
      <c r="O21" s="664">
        <f t="shared" si="2"/>
        <v>12</v>
      </c>
      <c r="P21" s="664">
        <f t="shared" si="2"/>
        <v>13</v>
      </c>
      <c r="Q21" s="664">
        <f t="shared" si="2"/>
        <v>14</v>
      </c>
      <c r="R21" s="664">
        <f t="shared" si="2"/>
        <v>15</v>
      </c>
      <c r="S21" s="664">
        <f t="shared" si="2"/>
        <v>16</v>
      </c>
      <c r="T21" s="664">
        <f t="shared" si="2"/>
        <v>17</v>
      </c>
      <c r="U21" s="664">
        <f>T21+1</f>
        <v>18</v>
      </c>
      <c r="V21" s="664">
        <f>U21+1</f>
        <v>19</v>
      </c>
      <c r="W21" s="664">
        <f>V21+1</f>
        <v>20</v>
      </c>
    </row>
    <row r="22" spans="2:23" ht="13">
      <c r="B22" s="530" t="s">
        <v>516</v>
      </c>
      <c r="C22" s="530"/>
      <c r="D22" s="674">
        <f ca="1">1/(1+$C15)</f>
        <v>0.98039215686274506</v>
      </c>
      <c r="E22" s="674">
        <f t="shared" ref="E22:W22" ca="1" si="3">D22+$D22^E$21</f>
        <v>1.9415609381007304</v>
      </c>
      <c r="F22" s="674">
        <f t="shared" ca="1" si="3"/>
        <v>2.8838832726477746</v>
      </c>
      <c r="G22" s="674">
        <f t="shared" ca="1" si="3"/>
        <v>3.8077286986742886</v>
      </c>
      <c r="H22" s="674">
        <f t="shared" ca="1" si="3"/>
        <v>4.7134595085042044</v>
      </c>
      <c r="I22" s="674">
        <f t="shared" ca="1" si="3"/>
        <v>5.6014308906903967</v>
      </c>
      <c r="J22" s="674">
        <f t="shared" ca="1" si="3"/>
        <v>6.4719910693043099</v>
      </c>
      <c r="K22" s="674">
        <f t="shared" ca="1" si="3"/>
        <v>7.3254814404944213</v>
      </c>
      <c r="L22" s="674">
        <f t="shared" ca="1" si="3"/>
        <v>8.1622367063670787</v>
      </c>
      <c r="M22" s="674">
        <f t="shared" ca="1" si="3"/>
        <v>8.9825850062422337</v>
      </c>
      <c r="N22" s="674">
        <f t="shared" ca="1" si="3"/>
        <v>9.7868480453355229</v>
      </c>
      <c r="O22" s="674">
        <f t="shared" ca="1" si="3"/>
        <v>10.57534122091718</v>
      </c>
      <c r="P22" s="674">
        <f t="shared" ca="1" si="3"/>
        <v>11.348373745997234</v>
      </c>
      <c r="Q22" s="674">
        <f t="shared" ca="1" si="3"/>
        <v>12.106248770585523</v>
      </c>
      <c r="R22" s="674">
        <f t="shared" ca="1" si="3"/>
        <v>12.849263500574041</v>
      </c>
      <c r="S22" s="674">
        <f t="shared" ca="1" si="3"/>
        <v>13.577709314288276</v>
      </c>
      <c r="T22" s="674">
        <f t="shared" ca="1" si="3"/>
        <v>14.291871876753211</v>
      </c>
      <c r="U22" s="674">
        <f t="shared" ca="1" si="3"/>
        <v>14.992031251718833</v>
      </c>
      <c r="V22" s="674">
        <f t="shared" ca="1" si="3"/>
        <v>15.678462011489051</v>
      </c>
      <c r="W22" s="674">
        <f t="shared" ca="1" si="3"/>
        <v>16.351433344597108</v>
      </c>
    </row>
    <row r="23" spans="2:23" ht="13">
      <c r="B23" s="530" t="s">
        <v>517</v>
      </c>
      <c r="D23" s="674">
        <f ca="1">(1-C12)/(1+C15)</f>
        <v>0.98775762882170881</v>
      </c>
      <c r="E23" s="674">
        <f t="shared" ref="E23:W23" ca="1" si="4">D23+$D23^E$21</f>
        <v>1.9634227621171934</v>
      </c>
      <c r="F23" s="674">
        <f t="shared" ca="1" si="4"/>
        <v>2.9271434407051578</v>
      </c>
      <c r="G23" s="674">
        <f t="shared" ca="1" si="4"/>
        <v>3.8790658930336535</v>
      </c>
      <c r="H23" s="674">
        <f t="shared" ca="1" si="4"/>
        <v>4.8193345573677941</v>
      </c>
      <c r="I23" s="674">
        <f t="shared" ca="1" si="4"/>
        <v>5.748092103705841</v>
      </c>
      <c r="J23" s="674">
        <f t="shared" ca="1" si="4"/>
        <v>6.6654794554269783</v>
      </c>
      <c r="K23" s="674">
        <f t="shared" ca="1" si="4"/>
        <v>7.571635810674076</v>
      </c>
      <c r="L23" s="674">
        <f t="shared" ca="1" si="4"/>
        <v>8.4666986634746717</v>
      </c>
      <c r="M23" s="674">
        <f t="shared" ca="1" si="4"/>
        <v>9.350803824603382</v>
      </c>
      <c r="N23" s="674">
        <f t="shared" ca="1" si="4"/>
        <v>10.224085442188912</v>
      </c>
      <c r="O23" s="674">
        <f t="shared" ca="1" si="4"/>
        <v>11.086676022068779</v>
      </c>
      <c r="P23" s="674">
        <f t="shared" ca="1" si="4"/>
        <v>11.938706447894861</v>
      </c>
      <c r="Q23" s="674">
        <f t="shared" ca="1" si="4"/>
        <v>12.780306000992782</v>
      </c>
      <c r="R23" s="674">
        <f t="shared" ca="1" si="4"/>
        <v>13.611602379978194</v>
      </c>
      <c r="S23" s="674">
        <f t="shared" ca="1" si="4"/>
        <v>14.432721720132898</v>
      </c>
      <c r="T23" s="674">
        <f t="shared" ca="1" si="4"/>
        <v>15.243788612543755</v>
      </c>
      <c r="U23" s="674">
        <f t="shared" ca="1" si="4"/>
        <v>16.044926123007293</v>
      </c>
      <c r="V23" s="674">
        <f t="shared" ca="1" si="4"/>
        <v>16.836255810702887</v>
      </c>
      <c r="W23" s="674">
        <f t="shared" ca="1" si="4"/>
        <v>17.617897746637308</v>
      </c>
    </row>
    <row r="24" spans="2:23">
      <c r="D24" s="674"/>
      <c r="E24" s="674"/>
      <c r="F24" s="674"/>
      <c r="G24" s="674"/>
      <c r="H24" s="674"/>
      <c r="I24" s="674"/>
      <c r="J24" s="674"/>
      <c r="K24" s="674"/>
      <c r="L24" s="674"/>
      <c r="M24" s="674"/>
      <c r="N24" s="674"/>
      <c r="O24" s="674"/>
      <c r="P24" s="674"/>
      <c r="Q24" s="674"/>
      <c r="R24" s="674"/>
      <c r="S24" s="674"/>
      <c r="T24" s="674"/>
      <c r="U24" s="674"/>
      <c r="V24" s="674"/>
      <c r="W24" s="675"/>
    </row>
    <row r="25" spans="2:23">
      <c r="B25" s="530" t="s">
        <v>491</v>
      </c>
      <c r="C25" s="667"/>
      <c r="D25" s="667">
        <f ca="1">(1+$C13)^(D21-1)/(1+$C14)^D21</f>
        <v>0.96153846153846145</v>
      </c>
      <c r="E25" s="667">
        <f t="shared" ref="E25:W25" ca="1" si="5">D25+(1+$C13)^(E21-1)/(1+$C14)^E21</f>
        <v>1.904585798816568</v>
      </c>
      <c r="F25" s="667">
        <f t="shared" ca="1" si="5"/>
        <v>2.8294976103777878</v>
      </c>
      <c r="G25" s="667">
        <f t="shared" ca="1" si="5"/>
        <v>3.7366226563320608</v>
      </c>
      <c r="H25" s="667">
        <f t="shared" ca="1" si="5"/>
        <v>4.6263029898641364</v>
      </c>
      <c r="I25" s="667">
        <f t="shared" ca="1" si="5"/>
        <v>5.4988740862129024</v>
      </c>
      <c r="J25" s="667">
        <f t="shared" ca="1" si="5"/>
        <v>6.3546649691703463</v>
      </c>
      <c r="K25" s="667">
        <f t="shared" ca="1" si="5"/>
        <v>7.1939983351478389</v>
      </c>
      <c r="L25" s="667">
        <f t="shared" ca="1" si="5"/>
        <v>8.0171906748565345</v>
      </c>
      <c r="M25" s="667">
        <f t="shared" ca="1" si="5"/>
        <v>8.8245523926477549</v>
      </c>
      <c r="N25" s="667">
        <f t="shared" ca="1" si="5"/>
        <v>9.6163879235583742</v>
      </c>
      <c r="O25" s="667">
        <f t="shared" ca="1" si="5"/>
        <v>10.392995848105327</v>
      </c>
      <c r="P25" s="667">
        <f t="shared" ca="1" si="5"/>
        <v>11.154669004872533</v>
      </c>
      <c r="Q25" s="667">
        <f t="shared" ca="1" si="5"/>
        <v>11.901694600932675</v>
      </c>
      <c r="R25" s="667">
        <f t="shared" ca="1" si="5"/>
        <v>12.634354320145508</v>
      </c>
      <c r="S25" s="667">
        <f t="shared" ca="1" si="5"/>
        <v>13.352924429373479</v>
      </c>
      <c r="T25" s="667">
        <f t="shared" ca="1" si="5"/>
        <v>14.057675882654758</v>
      </c>
      <c r="U25" s="667">
        <f t="shared" ca="1" si="5"/>
        <v>14.748874423372936</v>
      </c>
      <c r="V25" s="667">
        <f t="shared" ca="1" si="5"/>
        <v>15.426780684461917</v>
      </c>
      <c r="W25" s="667">
        <f t="shared" ca="1" si="5"/>
        <v>16.091650286683802</v>
      </c>
    </row>
    <row r="27" spans="2:23">
      <c r="B27" s="668"/>
      <c r="C27" s="850"/>
      <c r="D27" s="850"/>
      <c r="E27" s="850"/>
      <c r="F27" s="850"/>
      <c r="G27" s="850"/>
      <c r="H27" s="850"/>
      <c r="I27" s="850"/>
      <c r="J27" s="850"/>
      <c r="K27" s="850"/>
      <c r="L27" s="850"/>
      <c r="M27" s="850"/>
      <c r="N27" s="850"/>
      <c r="O27" s="850"/>
      <c r="P27" s="850"/>
      <c r="Q27" s="850"/>
      <c r="R27" s="850"/>
      <c r="S27" s="850"/>
      <c r="T27" s="850"/>
      <c r="U27" s="850"/>
      <c r="V27" s="850"/>
      <c r="W27" s="66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1" r:id="rId3" name="Drop Down 5">
              <controlPr defaultSize="0" autoLine="0" autoPict="0">
                <anchor moveWithCells="1">
                  <from>
                    <xdr:col>3</xdr:col>
                    <xdr:colOff>88900</xdr:colOff>
                    <xdr:row>12</xdr:row>
                    <xdr:rowOff>12700</xdr:rowOff>
                  </from>
                  <to>
                    <xdr:col>4</xdr:col>
                    <xdr:colOff>254000</xdr:colOff>
                    <xdr:row>12</xdr:row>
                    <xdr:rowOff>215900</xdr:rowOff>
                  </to>
                </anchor>
              </controlPr>
            </control>
          </mc:Choice>
        </mc:AlternateContent>
        <mc:AlternateContent xmlns:mc="http://schemas.openxmlformats.org/markup-compatibility/2006">
          <mc:Choice Requires="x14">
            <control shapeId="75782" r:id="rId4" name="Drop Down 6">
              <controlPr defaultSize="0" autoLine="0" autoPict="0">
                <anchor moveWithCells="1">
                  <from>
                    <xdr:col>3</xdr:col>
                    <xdr:colOff>76200</xdr:colOff>
                    <xdr:row>13</xdr:row>
                    <xdr:rowOff>12700</xdr:rowOff>
                  </from>
                  <to>
                    <xdr:col>4</xdr:col>
                    <xdr:colOff>254000</xdr:colOff>
                    <xdr:row>13</xdr:row>
                    <xdr:rowOff>215900</xdr:rowOff>
                  </to>
                </anchor>
              </controlPr>
            </control>
          </mc:Choice>
        </mc:AlternateContent>
        <mc:AlternateContent xmlns:mc="http://schemas.openxmlformats.org/markup-compatibility/2006">
          <mc:Choice Requires="x14">
            <control shapeId="75783" r:id="rId5" name="Drop Down 7">
              <controlPr defaultSize="0" autoLine="0" autoPict="0">
                <anchor moveWithCells="1">
                  <from>
                    <xdr:col>3</xdr:col>
                    <xdr:colOff>88900</xdr:colOff>
                    <xdr:row>10</xdr:row>
                    <xdr:rowOff>12700</xdr:rowOff>
                  </from>
                  <to>
                    <xdr:col>6</xdr:col>
                    <xdr:colOff>38100</xdr:colOff>
                    <xdr:row>10</xdr:row>
                    <xdr:rowOff>215900</xdr:rowOff>
                  </to>
                </anchor>
              </controlPr>
            </control>
          </mc:Choice>
        </mc:AlternateContent>
        <mc:AlternateContent xmlns:mc="http://schemas.openxmlformats.org/markup-compatibility/2006">
          <mc:Choice Requires="x14">
            <control shapeId="75784" r:id="rId6" name="Drop Down 8">
              <controlPr defaultSize="0" autoLine="0" autoPict="0">
                <anchor moveWithCells="1">
                  <from>
                    <xdr:col>3</xdr:col>
                    <xdr:colOff>88900</xdr:colOff>
                    <xdr:row>9</xdr:row>
                    <xdr:rowOff>25400</xdr:rowOff>
                  </from>
                  <to>
                    <xdr:col>4</xdr:col>
                    <xdr:colOff>101600</xdr:colOff>
                    <xdr:row>9</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dimension ref="B4:K23"/>
  <sheetViews>
    <sheetView workbookViewId="0">
      <selection activeCell="H35" sqref="H35"/>
    </sheetView>
  </sheetViews>
  <sheetFormatPr baseColWidth="10" defaultColWidth="8.83203125" defaultRowHeight="13"/>
  <cols>
    <col min="1" max="1" width="2" customWidth="1"/>
    <col min="3" max="7" width="3.6640625" customWidth="1"/>
  </cols>
  <sheetData>
    <row r="4" spans="2:11" ht="15">
      <c r="B4" s="1572" t="s">
        <v>534</v>
      </c>
      <c r="C4" s="1573"/>
      <c r="D4" s="1573"/>
      <c r="E4" s="1573"/>
      <c r="F4" s="1573"/>
      <c r="G4" s="1573"/>
      <c r="H4" s="1573"/>
      <c r="I4" s="1573"/>
      <c r="J4" s="1574"/>
    </row>
    <row r="5" spans="2:11" s="722" customFormat="1" ht="15">
      <c r="C5" s="721" t="s">
        <v>584</v>
      </c>
      <c r="D5" s="721"/>
      <c r="E5" s="721"/>
      <c r="F5" s="721"/>
      <c r="G5" s="721"/>
      <c r="H5" s="721"/>
      <c r="I5" s="721"/>
    </row>
    <row r="6" spans="2:11" ht="15">
      <c r="C6" s="721" t="s">
        <v>586</v>
      </c>
      <c r="D6" s="721"/>
      <c r="E6" s="721"/>
      <c r="F6" s="721"/>
      <c r="G6" s="721"/>
      <c r="H6" s="721"/>
    </row>
    <row r="7" spans="2:11" ht="15">
      <c r="D7" s="721" t="s">
        <v>532</v>
      </c>
      <c r="E7" s="721"/>
      <c r="F7" s="721"/>
      <c r="G7" s="721"/>
      <c r="H7" s="721"/>
      <c r="I7" s="721"/>
    </row>
    <row r="8" spans="2:11" ht="15">
      <c r="D8" s="721"/>
      <c r="E8" s="721" t="s">
        <v>586</v>
      </c>
      <c r="F8" s="721"/>
      <c r="G8" s="721"/>
      <c r="H8" s="721"/>
      <c r="I8" s="721"/>
      <c r="K8" t="s">
        <v>615</v>
      </c>
    </row>
    <row r="9" spans="2:11" ht="15">
      <c r="D9" s="721"/>
      <c r="E9" s="721" t="s">
        <v>535</v>
      </c>
      <c r="F9" s="721"/>
      <c r="G9" s="721"/>
      <c r="H9" s="721"/>
      <c r="I9" s="721"/>
      <c r="K9" t="s">
        <v>616</v>
      </c>
    </row>
    <row r="10" spans="2:11" ht="15">
      <c r="D10" s="721"/>
      <c r="E10" s="721"/>
      <c r="F10" s="721" t="s">
        <v>533</v>
      </c>
      <c r="G10" s="721"/>
      <c r="H10" s="721"/>
      <c r="I10" s="721"/>
    </row>
    <row r="11" spans="2:11" ht="15">
      <c r="D11" s="721"/>
      <c r="E11" s="721"/>
      <c r="F11" s="721"/>
      <c r="G11" s="721" t="s">
        <v>538</v>
      </c>
      <c r="H11" s="721"/>
      <c r="I11" s="721"/>
    </row>
    <row r="12" spans="2:11" ht="15">
      <c r="D12" s="721"/>
      <c r="E12" s="721" t="s">
        <v>533</v>
      </c>
      <c r="F12" s="721"/>
      <c r="G12" s="721"/>
      <c r="H12" s="721"/>
      <c r="I12" s="721"/>
      <c r="K12" t="s">
        <v>587</v>
      </c>
    </row>
    <row r="13" spans="2:11" ht="15">
      <c r="D13" s="721"/>
      <c r="E13" s="721" t="s">
        <v>588</v>
      </c>
      <c r="F13" s="721"/>
      <c r="G13" s="721"/>
      <c r="H13" s="721"/>
      <c r="I13" s="721"/>
    </row>
    <row r="14" spans="2:11" ht="15">
      <c r="C14" s="721" t="s">
        <v>585</v>
      </c>
      <c r="D14" s="721"/>
      <c r="E14" s="721"/>
      <c r="F14" s="721"/>
      <c r="G14" s="721"/>
      <c r="H14" s="721"/>
      <c r="I14" s="721"/>
    </row>
    <row r="15" spans="2:11" ht="15">
      <c r="C15" s="721"/>
      <c r="E15" s="721"/>
      <c r="F15" s="721"/>
      <c r="G15" s="721"/>
      <c r="H15" s="721"/>
      <c r="I15" s="721"/>
      <c r="J15" s="721"/>
    </row>
    <row r="16" spans="2:11" ht="15">
      <c r="B16" s="1566" t="s">
        <v>611</v>
      </c>
      <c r="C16" s="1567"/>
      <c r="D16" s="1567"/>
      <c r="E16" s="1567"/>
      <c r="F16" s="1567"/>
      <c r="G16" s="1567"/>
      <c r="H16" s="1567"/>
      <c r="I16" s="1567"/>
      <c r="J16" s="1568"/>
    </row>
    <row r="17" spans="2:11" ht="15">
      <c r="C17" s="721"/>
      <c r="D17" s="721"/>
      <c r="E17" s="721"/>
      <c r="F17" s="721"/>
      <c r="G17" s="721"/>
      <c r="H17" s="721"/>
      <c r="I17" s="721"/>
    </row>
    <row r="18" spans="2:11" ht="15">
      <c r="C18" s="721"/>
      <c r="D18" s="721"/>
      <c r="E18" s="721"/>
      <c r="F18" s="721"/>
      <c r="G18" s="721"/>
      <c r="H18" s="721"/>
      <c r="I18" s="721"/>
    </row>
    <row r="19" spans="2:11" ht="15">
      <c r="C19" s="721"/>
      <c r="D19" s="721"/>
      <c r="E19" s="721"/>
      <c r="F19" s="721"/>
      <c r="G19" s="721"/>
      <c r="H19" s="721"/>
      <c r="I19" s="721"/>
    </row>
    <row r="20" spans="2:11" ht="15" customHeight="1">
      <c r="B20" s="1569" t="s">
        <v>696</v>
      </c>
      <c r="C20" s="1570"/>
      <c r="D20" s="1570"/>
      <c r="E20" s="1570"/>
      <c r="F20" s="1570"/>
      <c r="G20" s="1570"/>
      <c r="H20" s="1570"/>
      <c r="I20" s="1570"/>
      <c r="J20" s="1570"/>
      <c r="K20" s="1571"/>
    </row>
    <row r="21" spans="2:11">
      <c r="B21" t="s">
        <v>697</v>
      </c>
    </row>
    <row r="22" spans="2:11">
      <c r="B22" t="s">
        <v>698</v>
      </c>
    </row>
    <row r="23" spans="2:11">
      <c r="B23" t="s">
        <v>699</v>
      </c>
    </row>
  </sheetData>
  <mergeCells count="3">
    <mergeCell ref="B16:J16"/>
    <mergeCell ref="B20:K20"/>
    <mergeCell ref="B4:J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1097</TotalTime>
  <Application>Microsoft Macintosh Excel</Application>
  <DocSecurity>0</DocSecurity>
  <ScaleCrop>false</ScaleCrop>
  <HeadingPairs>
    <vt:vector size="4" baseType="variant">
      <vt:variant>
        <vt:lpstr>Feuilles de calcul</vt:lpstr>
      </vt:variant>
      <vt:variant>
        <vt:i4>24</vt:i4>
      </vt:variant>
      <vt:variant>
        <vt:lpstr>Plages nommées</vt:lpstr>
      </vt:variant>
      <vt:variant>
        <vt:i4>37</vt:i4>
      </vt:variant>
    </vt:vector>
  </HeadingPairs>
  <TitlesOfParts>
    <vt:vector size="61" baseType="lpstr">
      <vt:lpstr>DataCenter-UseCase</vt:lpstr>
      <vt:lpstr>Summary-SolarSystem</vt:lpstr>
      <vt:lpstr>LCOSE Global Expectations</vt:lpstr>
      <vt:lpstr>PV Stabilized LCOE evol</vt:lpstr>
      <vt:lpstr>AZA-Sensitivity PV-LCOE</vt:lpstr>
      <vt:lpstr>AZA Zinc-Air vs Li-ion case</vt:lpstr>
      <vt:lpstr>LCOSE Sensitivity Study</vt:lpstr>
      <vt:lpstr>TCO Solar Farm-Containers</vt:lpstr>
      <vt:lpstr>EnergyVault-Recap</vt:lpstr>
      <vt:lpstr>Container system</vt:lpstr>
      <vt:lpstr>DropDown menus</vt:lpstr>
      <vt:lpstr>Standalone-PV-Station-5kW</vt:lpstr>
      <vt:lpstr>Packs</vt:lpstr>
      <vt:lpstr>Cells Cost</vt:lpstr>
      <vt:lpstr>AZA CyclesNbr</vt:lpstr>
      <vt:lpstr>PV-LCOE</vt:lpstr>
      <vt:lpstr>(ANX) LCOE Wind &amp; PV</vt:lpstr>
      <vt:lpstr>(ANX) Electricity cost (PV)</vt:lpstr>
      <vt:lpstr>(ANX) Solar resources</vt:lpstr>
      <vt:lpstr>References</vt:lpstr>
      <vt:lpstr>AirConsumption</vt:lpstr>
      <vt:lpstr>AirConsumptionPerCell</vt:lpstr>
      <vt:lpstr>Params</vt:lpstr>
      <vt:lpstr>Dependency-Tree</vt:lpstr>
      <vt:lpstr>AZA_exp_factor</vt:lpstr>
      <vt:lpstr>CONT_BoS_pkWp</vt:lpstr>
      <vt:lpstr>CONT_max_disch_h</vt:lpstr>
      <vt:lpstr>container_20fvs40f</vt:lpstr>
      <vt:lpstr>container_40fvs20f</vt:lpstr>
      <vt:lpstr>Cost_kWh_PV</vt:lpstr>
      <vt:lpstr>DC_cyclesPyear</vt:lpstr>
      <vt:lpstr>DC_elec_USDperkWh</vt:lpstr>
      <vt:lpstr>DC_nomin_kW</vt:lpstr>
      <vt:lpstr>DC_project_years</vt:lpstr>
      <vt:lpstr>DC_required_kWh</vt:lpstr>
      <vt:lpstr>EUR2USD_2020</vt:lpstr>
      <vt:lpstr>EUR2USD_evol</vt:lpstr>
      <vt:lpstr>feet2mm</vt:lpstr>
      <vt:lpstr>inch2mm</vt:lpstr>
      <vt:lpstr>Inverter_cost_pkWp_2019</vt:lpstr>
      <vt:lpstr>Inverter_cost_ydecr</vt:lpstr>
      <vt:lpstr>Inverter_cost_yprogr</vt:lpstr>
      <vt:lpstr>opt_EUR2USD_evol</vt:lpstr>
      <vt:lpstr>opt_GeoCase</vt:lpstr>
      <vt:lpstr>opt_HD_cells_overhead</vt:lpstr>
      <vt:lpstr>opt_PVF_UPS</vt:lpstr>
      <vt:lpstr>opt_PVF_UPS_ndx</vt:lpstr>
      <vt:lpstr>opt_year</vt:lpstr>
      <vt:lpstr>opt_YearId</vt:lpstr>
      <vt:lpstr>perfLvl_AZA</vt:lpstr>
      <vt:lpstr>perfLvl_Li_ion</vt:lpstr>
      <vt:lpstr>pres_unit_factor</vt:lpstr>
      <vt:lpstr>prm_AZA_perfs</vt:lpstr>
      <vt:lpstr>'AZA Zinc-Air vs Li-ion case'!ratio_vs_simul</vt:lpstr>
      <vt:lpstr>year_comp1</vt:lpstr>
      <vt:lpstr>year_comp2</vt:lpstr>
      <vt:lpstr>ZA_Whpkg_PVfarm</vt:lpstr>
      <vt:lpstr>ZA_Whpkg_UPS</vt:lpstr>
      <vt:lpstr>'AZA CyclesNbr'!Zone_d_impression</vt:lpstr>
      <vt:lpstr>'AZA-Sensitivity PV-LCOE'!Zone_d_impression</vt:lpstr>
      <vt:lpstr>'DataCenter-UseCase'!Zone_d_impression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Didier Guillonnet</dc:creator>
  <cp:lastModifiedBy>Microsoft Office User</cp:lastModifiedBy>
  <cp:revision>103</cp:revision>
  <cp:lastPrinted>2021-01-28T14:05:20Z</cp:lastPrinted>
  <dcterms:created xsi:type="dcterms:W3CDTF">2019-12-10T10:39:30Z</dcterms:created>
  <dcterms:modified xsi:type="dcterms:W3CDTF">2022-09-19T17:47:10Z</dcterms:modified>
  <dc:language>en-US</dc:language>
</cp:coreProperties>
</file>